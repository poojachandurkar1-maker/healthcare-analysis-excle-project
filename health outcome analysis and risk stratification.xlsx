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1.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defaultThemeVersion="166925"/>
  <mc:AlternateContent xmlns:mc="http://schemas.openxmlformats.org/markup-compatibility/2006">
    <mc:Choice Requires="x15">
      <x15ac:absPath xmlns:x15ac="http://schemas.microsoft.com/office/spreadsheetml/2010/11/ac" url="C:\Users\Lenovo\Documents\"/>
    </mc:Choice>
  </mc:AlternateContent>
  <xr:revisionPtr revIDLastSave="0" documentId="13_ncr:1_{F2780F16-4F8F-4783-BEEA-99D479F9DD40}" xr6:coauthVersionLast="47" xr6:coauthVersionMax="47" xr10:uidLastSave="{00000000-0000-0000-0000-000000000000}"/>
  <bookViews>
    <workbookView xWindow="-108" yWindow="-108" windowWidth="23256" windowHeight="12456" activeTab="3" xr2:uid="{85E1E5E4-744C-4594-9D32-3C9189845CB0}"/>
  </bookViews>
  <sheets>
    <sheet name="labs" sheetId="6" r:id="rId1"/>
    <sheet name="diagnoses" sheetId="5" r:id="rId2"/>
    <sheet name="outcomes" sheetId="4" r:id="rId3"/>
    <sheet name="patients" sheetId="3" r:id="rId4"/>
    <sheet name="analysyis" sheetId="1" r:id="rId5"/>
    <sheet name="Sheet1" sheetId="8" r:id="rId6"/>
  </sheets>
  <definedNames>
    <definedName name="ExternalData_2" localSheetId="3" hidden="1">patients!$A$1:$L$201</definedName>
    <definedName name="ExternalData_3" localSheetId="2" hidden="1">outcomes!$A$1:$B$4</definedName>
    <definedName name="ExternalData_4" localSheetId="1" hidden="1">diagnoses!$A$1:$B$11</definedName>
    <definedName name="ExternalData_5" localSheetId="0" hidden="1">labs!$A$1:$E$201</definedName>
    <definedName name="Slicer_Name">#N/A</definedName>
    <definedName name="Slicer_PatientID">#N/A</definedName>
    <definedName name="Slicer_result">#N/A</definedName>
    <definedName name="Slicer_test_perform">#N/A</definedName>
  </definedNames>
  <calcPr calcId="191029"/>
  <pivotCaches>
    <pivotCache cacheId="6"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 i="6" l="1"/>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N2"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M2"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 i="3"/>
  <c r="F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13A2868-E3C8-4BE9-A104-87B96EDB76FC}" keepAlive="1" name="Query - diagnoses" description="Connection to the 'diagnoses' query in the workbook." type="5" refreshedVersion="8" background="1" saveData="1">
    <dbPr connection="Provider=Microsoft.Mashup.OleDb.1;Data Source=$Workbook$;Location=diagnoses;Extended Properties=&quot;&quot;" command="SELECT * FROM [diagnoses]"/>
  </connection>
  <connection id="2" xr16:uid="{086894CB-610B-4A41-B09F-7708264B3FE8}" keepAlive="1" name="Query - labs" description="Connection to the 'labs' query in the workbook." type="5" refreshedVersion="8" background="1" saveData="1">
    <dbPr connection="Provider=Microsoft.Mashup.OleDb.1;Data Source=$Workbook$;Location=labs;Extended Properties=&quot;&quot;" command="SELECT * FROM [labs]"/>
  </connection>
  <connection id="3" xr16:uid="{EB1FD798-9EEC-4B58-8698-C391994E6468}" keepAlive="1" name="Query - outcomes" description="Connection to the 'outcomes' query in the workbook." type="5" refreshedVersion="8" background="1" saveData="1">
    <dbPr connection="Provider=Microsoft.Mashup.OleDb.1;Data Source=$Workbook$;Location=outcomes;Extended Properties=&quot;&quot;" command="SELECT * FROM [outcomes]"/>
  </connection>
  <connection id="4" xr16:uid="{3A6D9D84-7585-4EDD-AFFE-451F60679BF4}" keepAlive="1" name="Query - patients" description="Connection to the 'patients' query in the workbook." type="5" refreshedVersion="8" background="1" saveData="1">
    <dbPr connection="Provider=Microsoft.Mashup.OleDb.1;Data Source=$Workbook$;Location=patients;Extended Properties=&quot;&quot;" command="SELECT * FROM [patients]"/>
  </connection>
  <connection id="5" xr16:uid="{B4CC4C82-2F9C-48DA-BA9B-71C35E2FD988}"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<sst xmlns="http://schemas.openxmlformats.org/spreadsheetml/2006/main" count="883" uniqueCount="262">
  <si>
    <t>Column1</t>
  </si>
  <si>
    <t>PatientID</t>
  </si>
  <si>
    <t>Name</t>
  </si>
  <si>
    <t>Age</t>
  </si>
  <si>
    <t>Gender</t>
  </si>
  <si>
    <t>DiagnosisID</t>
  </si>
  <si>
    <t>AdmissionDate</t>
  </si>
  <si>
    <t>DischargeDate</t>
  </si>
  <si>
    <t>OutcomeID</t>
  </si>
  <si>
    <t>TreatmentCost</t>
  </si>
  <si>
    <t>Edward Montes</t>
  </si>
  <si>
    <t>M</t>
  </si>
  <si>
    <t>Jessica Zimmerman</t>
  </si>
  <si>
    <t>Gina Alexander</t>
  </si>
  <si>
    <t>Lori Green</t>
  </si>
  <si>
    <t>F</t>
  </si>
  <si>
    <t>Jack Logan</t>
  </si>
  <si>
    <t>Melinda Robinson</t>
  </si>
  <si>
    <t>Sherry Robinson</t>
  </si>
  <si>
    <t>James Watts</t>
  </si>
  <si>
    <t>Jeanne Butler</t>
  </si>
  <si>
    <t>Benjamin Rogers</t>
  </si>
  <si>
    <t>Carol Sanchez</t>
  </si>
  <si>
    <t>Stacy Clark</t>
  </si>
  <si>
    <t>Kimberly Chase</t>
  </si>
  <si>
    <t>Cody Ryan</t>
  </si>
  <si>
    <t>Kimberly Alexander</t>
  </si>
  <si>
    <t>Olivia Roy</t>
  </si>
  <si>
    <t>Sabrina Medina</t>
  </si>
  <si>
    <t>Jennifer Wright</t>
  </si>
  <si>
    <t>Christian Lynch</t>
  </si>
  <si>
    <t>Jorge Castillo</t>
  </si>
  <si>
    <t>Nicholas Wilcox</t>
  </si>
  <si>
    <t>Toni Gomez</t>
  </si>
  <si>
    <t>Emily King</t>
  </si>
  <si>
    <t>Jordan Harris</t>
  </si>
  <si>
    <t>Adriana Rogers</t>
  </si>
  <si>
    <t>Samuel Thompson</t>
  </si>
  <si>
    <t>Brenda Huber</t>
  </si>
  <si>
    <t>Brett Washington</t>
  </si>
  <si>
    <t>Katherine Gonzales</t>
  </si>
  <si>
    <t>Jacqueline Bauer</t>
  </si>
  <si>
    <t>Brittany Walker</t>
  </si>
  <si>
    <t>Tommy Atkinson</t>
  </si>
  <si>
    <t>Miss Kathryn Mitchell</t>
  </si>
  <si>
    <t>Steven Morales</t>
  </si>
  <si>
    <t>Anthony Frederick</t>
  </si>
  <si>
    <t>Beverly Dillon</t>
  </si>
  <si>
    <t>Monica Walker</t>
  </si>
  <si>
    <t>Russell Small</t>
  </si>
  <si>
    <t>Matthew Rios</t>
  </si>
  <si>
    <t>Nicole Vargas</t>
  </si>
  <si>
    <t>Richard Hill</t>
  </si>
  <si>
    <t>Bonnie Herman</t>
  </si>
  <si>
    <t>Nicholas Wright</t>
  </si>
  <si>
    <t>Kelsey Sanchez</t>
  </si>
  <si>
    <t>Deborah Little</t>
  </si>
  <si>
    <t>Mrs. Carol Andrade</t>
  </si>
  <si>
    <t>Carlos Gutierrez</t>
  </si>
  <si>
    <t>Casey Schneider</t>
  </si>
  <si>
    <t>Lisa Frazier</t>
  </si>
  <si>
    <t>Katie Lawson</t>
  </si>
  <si>
    <t>Mary Johnson</t>
  </si>
  <si>
    <t>Michael Maxwell</t>
  </si>
  <si>
    <t>Patrick Mccormick</t>
  </si>
  <si>
    <t>Bruce Jones</t>
  </si>
  <si>
    <t>Austin Huffman</t>
  </si>
  <si>
    <t>Heather Peterson</t>
  </si>
  <si>
    <t>Justin Keller</t>
  </si>
  <si>
    <t>Robert Aguirre</t>
  </si>
  <si>
    <t>Christopher Hoffman</t>
  </si>
  <si>
    <t>Tamara Pacheco</t>
  </si>
  <si>
    <t>Jared Hughes</t>
  </si>
  <si>
    <t>Samantha Peck</t>
  </si>
  <si>
    <t>Jared Jacobs</t>
  </si>
  <si>
    <t>Rachel Johnson</t>
  </si>
  <si>
    <t>Lauren Skinner</t>
  </si>
  <si>
    <t>Tina Rodriguez PhD</t>
  </si>
  <si>
    <t>Shirley Spencer</t>
  </si>
  <si>
    <t>Daniel Livingston</t>
  </si>
  <si>
    <t>Stephen Wright</t>
  </si>
  <si>
    <t>James Leblanc</t>
  </si>
  <si>
    <t>John Dawson</t>
  </si>
  <si>
    <t>Sharon Miller</t>
  </si>
  <si>
    <t>Rhonda Nichols</t>
  </si>
  <si>
    <t>William Mclaughlin</t>
  </si>
  <si>
    <t>Melissa Edwards</t>
  </si>
  <si>
    <t>Joshua Shaw</t>
  </si>
  <si>
    <t>Yolanda Tucker</t>
  </si>
  <si>
    <t>Sarah Anderson</t>
  </si>
  <si>
    <t>Meagan Larson</t>
  </si>
  <si>
    <t>Kelly Huffman</t>
  </si>
  <si>
    <t>Sarah Rivas</t>
  </si>
  <si>
    <t>Erica Mills</t>
  </si>
  <si>
    <t>Theodore Oliver</t>
  </si>
  <si>
    <t>Linda Mitchell</t>
  </si>
  <si>
    <t>Jason Harrington</t>
  </si>
  <si>
    <t>Kim Salas DDS</t>
  </si>
  <si>
    <t>Patrick Cantu</t>
  </si>
  <si>
    <t>Brenda Evans</t>
  </si>
  <si>
    <t>Christopher Burch</t>
  </si>
  <si>
    <t>Stephanie Beard</t>
  </si>
  <si>
    <t>James Boyer</t>
  </si>
  <si>
    <t>Julie Rhodes</t>
  </si>
  <si>
    <t>Jennifer Howard</t>
  </si>
  <si>
    <t>Anthony Rodriguez</t>
  </si>
  <si>
    <t>Alexander Rodgers</t>
  </si>
  <si>
    <t>Joshua Riley</t>
  </si>
  <si>
    <t>Dennis Lynch</t>
  </si>
  <si>
    <t>Amanda Rivera</t>
  </si>
  <si>
    <t>Mark Miller</t>
  </si>
  <si>
    <t>Cindy Rivas</t>
  </si>
  <si>
    <t>Kenneth Holden</t>
  </si>
  <si>
    <t>Veronica Beard</t>
  </si>
  <si>
    <t>Jordan Perry</t>
  </si>
  <si>
    <t>Jaime Jacobs</t>
  </si>
  <si>
    <t>Brenda Hines</t>
  </si>
  <si>
    <t>Nancy Weber</t>
  </si>
  <si>
    <t>Angela Schneider</t>
  </si>
  <si>
    <t>Richard Osborne</t>
  </si>
  <si>
    <t>Autumn Garrett</t>
  </si>
  <si>
    <t>Patrick Webb</t>
  </si>
  <si>
    <t>Mrs. Amanda Bright MD</t>
  </si>
  <si>
    <t>Anthony Marshall</t>
  </si>
  <si>
    <t>Kevin Vaughn</t>
  </si>
  <si>
    <t>Dawn Hicks</t>
  </si>
  <si>
    <t>Jeffrey Norris</t>
  </si>
  <si>
    <t>Antonio Ruiz</t>
  </si>
  <si>
    <t>Sarah Mason</t>
  </si>
  <si>
    <t>Nicholas Lee</t>
  </si>
  <si>
    <t>Dr. Edward Hebert</t>
  </si>
  <si>
    <t>Sara Huffman</t>
  </si>
  <si>
    <t>Ashley Rodriguez</t>
  </si>
  <si>
    <t>Jennifer Ramirez</t>
  </si>
  <si>
    <t>Amanda Richardson</t>
  </si>
  <si>
    <t>Jake Bryan</t>
  </si>
  <si>
    <t>James Barron</t>
  </si>
  <si>
    <t>Carmen Rosales</t>
  </si>
  <si>
    <t>Joseph Medina</t>
  </si>
  <si>
    <t>Nancy Mcmahon</t>
  </si>
  <si>
    <t>Lindsey Vargas</t>
  </si>
  <si>
    <t>Rhonda Nguyen</t>
  </si>
  <si>
    <t>Charles Martin</t>
  </si>
  <si>
    <t>Christina Curtis</t>
  </si>
  <si>
    <t>Mary Jones</t>
  </si>
  <si>
    <t>Christopher Miller</t>
  </si>
  <si>
    <t>Brian Brown</t>
  </si>
  <si>
    <t>Amanda Mason</t>
  </si>
  <si>
    <t>Jordan Rodgers</t>
  </si>
  <si>
    <t>Jessica Watson</t>
  </si>
  <si>
    <t>Edward Thornton</t>
  </si>
  <si>
    <t>Randy Gutierrez</t>
  </si>
  <si>
    <t>Victoria Cole</t>
  </si>
  <si>
    <t>Tracy Chavez</t>
  </si>
  <si>
    <t>Kimberly Gregory</t>
  </si>
  <si>
    <t>William Webb</t>
  </si>
  <si>
    <t>Donna Peterson</t>
  </si>
  <si>
    <t>Jessica Long</t>
  </si>
  <si>
    <t>Jamie Williams</t>
  </si>
  <si>
    <t>Guy Shepard</t>
  </si>
  <si>
    <t>Karen Mcbride</t>
  </si>
  <si>
    <t>Jeffery House</t>
  </si>
  <si>
    <t>Natalie Skinner</t>
  </si>
  <si>
    <t>Devin James</t>
  </si>
  <si>
    <t>Tami Warner</t>
  </si>
  <si>
    <t>Mrs. Carol Chambers</t>
  </si>
  <si>
    <t>Traci Reyes</t>
  </si>
  <si>
    <t>Rhonda Robertson</t>
  </si>
  <si>
    <t>Tracy Wood</t>
  </si>
  <si>
    <t>Shannon Stewart</t>
  </si>
  <si>
    <t>Juan Malone</t>
  </si>
  <si>
    <t>Kristin Chapman</t>
  </si>
  <si>
    <t>Ann Adams</t>
  </si>
  <si>
    <t>Jesus Coleman</t>
  </si>
  <si>
    <t>Shawn Burke</t>
  </si>
  <si>
    <t>Ruth Strong</t>
  </si>
  <si>
    <t>Michael Warren</t>
  </si>
  <si>
    <t>Raymond Chavez</t>
  </si>
  <si>
    <t>Scott Peterson</t>
  </si>
  <si>
    <t>Frank Reid</t>
  </si>
  <si>
    <t>Shawna Webb</t>
  </si>
  <si>
    <t>Gregory Murphy</t>
  </si>
  <si>
    <t>Timothy Greene</t>
  </si>
  <si>
    <t>Kimberly Brady</t>
  </si>
  <si>
    <t>Mary Fowler</t>
  </si>
  <si>
    <t>Alexander Bradshaw</t>
  </si>
  <si>
    <t>Jonathan Baird</t>
  </si>
  <si>
    <t>Rebecca Baker</t>
  </si>
  <si>
    <t>Jennifer Sanchez</t>
  </si>
  <si>
    <t>Rebecca Castaneda</t>
  </si>
  <si>
    <t>Darren Scott</t>
  </si>
  <si>
    <t>Nicole Hall</t>
  </si>
  <si>
    <t>Gary Wade</t>
  </si>
  <si>
    <t>Kristen Wood</t>
  </si>
  <si>
    <t>Sean Valenzuela</t>
  </si>
  <si>
    <t>James Smith</t>
  </si>
  <si>
    <t>Marcus Adams</t>
  </si>
  <si>
    <t>Melissa Torres</t>
  </si>
  <si>
    <t>Robert Wade</t>
  </si>
  <si>
    <t>Benjamin White</t>
  </si>
  <si>
    <t>James Jacobs</t>
  </si>
  <si>
    <t>Kristin Underwood</t>
  </si>
  <si>
    <t>David Moore</t>
  </si>
  <si>
    <t>Francisco Lester</t>
  </si>
  <si>
    <t>Nicholas Jennings</t>
  </si>
  <si>
    <t>Andrew Hawkins</t>
  </si>
  <si>
    <t>Jonathan Potter</t>
  </si>
  <si>
    <t>Shelly Dominguez</t>
  </si>
  <si>
    <t>Destiny Johnson</t>
  </si>
  <si>
    <t>Catherine Case</t>
  </si>
  <si>
    <t>Dennis Wolfe</t>
  </si>
  <si>
    <t>Gregory Bates</t>
  </si>
  <si>
    <t>OutcomeName</t>
  </si>
  <si>
    <t>Recovered</t>
  </si>
  <si>
    <t>Complicated</t>
  </si>
  <si>
    <t>Deceased</t>
  </si>
  <si>
    <t>DiagnosisName</t>
  </si>
  <si>
    <t>Hypertension</t>
  </si>
  <si>
    <t>Diabetes</t>
  </si>
  <si>
    <t>Heart Disease</t>
  </si>
  <si>
    <t>Asthma</t>
  </si>
  <si>
    <t>Stroke</t>
  </si>
  <si>
    <t>COPD</t>
  </si>
  <si>
    <t>Cancer</t>
  </si>
  <si>
    <t>Arthritis</t>
  </si>
  <si>
    <t>Kidney Disease</t>
  </si>
  <si>
    <t>Liver Disease</t>
  </si>
  <si>
    <t>LabID</t>
  </si>
  <si>
    <t>TestName</t>
  </si>
  <si>
    <t>Result</t>
  </si>
  <si>
    <t>NormalRange</t>
  </si>
  <si>
    <t>Blood Pressure</t>
  </si>
  <si>
    <t>150-200</t>
  </si>
  <si>
    <t>Cholesterol</t>
  </si>
  <si>
    <t>13-17</t>
  </si>
  <si>
    <t>0.6-1.2</t>
  </si>
  <si>
    <t>Blood Sugar</t>
  </si>
  <si>
    <t>120/80</t>
  </si>
  <si>
    <t>Creatinine</t>
  </si>
  <si>
    <t>Hemoglobin</t>
  </si>
  <si>
    <t>20-50</t>
  </si>
  <si>
    <t>Vitamin D</t>
  </si>
  <si>
    <t>70-120</t>
  </si>
  <si>
    <t>Diagnoses name</t>
  </si>
  <si>
    <t>stay</t>
  </si>
  <si>
    <t>status</t>
  </si>
  <si>
    <t>test perform</t>
  </si>
  <si>
    <t>result</t>
  </si>
  <si>
    <t>Row Labels</t>
  </si>
  <si>
    <t>Grand Total</t>
  </si>
  <si>
    <t>Count of Name</t>
  </si>
  <si>
    <t>Column Labels</t>
  </si>
  <si>
    <t>Average of TreatmentCost</t>
  </si>
  <si>
    <t>Gender Distribution</t>
  </si>
  <si>
    <t>total patient</t>
  </si>
  <si>
    <t>Average of Age</t>
  </si>
  <si>
    <t>Sum of TreatmentCost</t>
  </si>
  <si>
    <t>high risk patient</t>
  </si>
  <si>
    <t>KPI'S</t>
  </si>
  <si>
    <t>Count of Gender</t>
  </si>
  <si>
    <t>dignoses and cost</t>
  </si>
  <si>
    <t>Outcome Distibution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</si>
</sst>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7" formatCode="\₹0.00,&quot;K&quot;"/>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0">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1" fillId="3" borderId="1" xfId="0" applyFont="1" applyFill="1" applyBorder="1"/>
    <xf numFmtId="0" fontId="1" fillId="3" borderId="2" xfId="0" applyFont="1" applyFill="1" applyBorder="1"/>
    <xf numFmtId="0" fontId="0" fillId="2" borderId="0" xfId="0" applyFill="1" applyAlignment="1">
      <alignment horizontal="center"/>
    </xf>
    <xf numFmtId="0" fontId="0" fillId="0" borderId="0" xfId="0" applyNumberFormat="1"/>
    <xf numFmtId="167" fontId="0" fillId="0" borderId="0" xfId="0" applyNumberFormat="1"/>
  </cellXfs>
  <cellStyles count="1">
    <cellStyle name="Normal" xfId="0" builtinId="0"/>
  </cellStyles>
  <dxfs count="29">
    <dxf>
      <numFmt numFmtId="167" formatCode="\₹0.00,&quot;K&quot;"/>
    </dxf>
    <dxf>
      <numFmt numFmtId="167" formatCode="\₹0.00,&quot;K&quot;"/>
    </dxf>
    <dxf>
      <numFmt numFmtId="167" formatCode="\₹0.00,&quot;K&quot;"/>
    </dxf>
    <dxf>
      <numFmt numFmtId="167" formatCode="\₹0.00,&quot;K&quot;"/>
    </dxf>
    <dxf>
      <numFmt numFmtId="167" formatCode="\₹0.00,&quot;K&quot;"/>
    </dxf>
    <dxf>
      <numFmt numFmtId="167" formatCode="\₹0.00,&quot;K&quot;"/>
    </dxf>
    <dxf>
      <numFmt numFmtId="167" formatCode="\₹0.00,&quot;K&quot;"/>
    </dxf>
    <dxf>
      <numFmt numFmtId="167" formatCode="\₹0.00,&quot;K&quot;"/>
    </dxf>
    <dxf>
      <numFmt numFmtId="167" formatCode="\₹0.00,&quot;K&quot;"/>
    </dxf>
    <dxf>
      <numFmt numFmtId="167" formatCode="\₹0.00,&quot;K&quot;"/>
    </dxf>
    <dxf>
      <numFmt numFmtId="167" formatCode="\₹0.00,&quot;K&quot;"/>
    </dxf>
    <dxf>
      <fill>
        <patternFill>
          <bgColor rgb="FF00FF00"/>
        </patternFill>
      </fill>
    </dxf>
    <dxf>
      <fill>
        <patternFill>
          <bgColor rgb="FF99FF33"/>
        </patternFill>
      </fill>
    </dxf>
    <dxf>
      <fill>
        <gradientFill degree="90">
          <stop position="0">
            <color rgb="FF008000"/>
          </stop>
          <stop position="1">
            <color rgb="FFFFFF00"/>
          </stop>
        </gradientFill>
      </fill>
    </dxf>
    <dxf>
      <numFmt numFmtId="167" formatCode="\₹0.00,&quot;K&quot;"/>
    </dxf>
    <dxf>
      <numFmt numFmtId="0" formatCode="General"/>
    </dxf>
    <dxf>
      <numFmt numFmtId="0" formatCode="General"/>
    </dxf>
    <dxf>
      <numFmt numFmtId="0" formatCode="General"/>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2" defaultTableStyle="TableStyleMedium2" defaultPivotStyle="PivotStyleLight16">
    <tableStyle name="Slicer Style 1" pivot="0" table="0" count="3" xr9:uid="{499C22CB-EB45-4A84-A4E6-25B962B8D0A5}">
      <tableStyleElement type="wholeTable" dxfId="12"/>
      <tableStyleElement type="headerRow" dxfId="11"/>
    </tableStyle>
    <tableStyle name="Slicer Style 3" pivot="0" table="0" count="1" xr9:uid="{1549F7AA-0EDF-4CAC-9219-259CE9A425C9}">
      <tableStyleElement type="headerRow" dxfId="13"/>
    </tableStyle>
  </tableStyles>
  <colors>
    <mruColors>
      <color rgb="FF003300"/>
      <color rgb="FF008000"/>
      <color rgb="FF006600"/>
      <color rgb="FF00FF00"/>
      <color rgb="FF99FF33"/>
      <color rgb="FF009900"/>
      <color rgb="FFFFCC00"/>
      <color rgb="FFFF3300"/>
    </mruColors>
  </colors>
  <extLst>
    <ext xmlns:x14="http://schemas.microsoft.com/office/spreadsheetml/2009/9/main" uri="{46F421CA-312F-682f-3DD2-61675219B42D}">
      <x14:dxfs count="1">
        <dxf>
          <fill>
            <patternFill>
              <bgColor rgb="FF00660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outcome analysis and risk stratification.xlsx]analysyis!PivotTable1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analysyis!$C$10:$C$11</c:f>
              <c:strCache>
                <c:ptCount val="1"/>
                <c:pt idx="0">
                  <c:v>Complicated</c:v>
                </c:pt>
              </c:strCache>
            </c:strRef>
          </c:tx>
          <c:spPr>
            <a:solidFill>
              <a:schemeClr val="accent1"/>
            </a:solidFill>
            <a:ln>
              <a:noFill/>
            </a:ln>
            <a:effectLst/>
          </c:spPr>
          <c:invertIfNegative val="0"/>
          <c:cat>
            <c:strRef>
              <c:f>analysyis!$B$12:$B$14</c:f>
              <c:strCache>
                <c:ptCount val="2"/>
                <c:pt idx="0">
                  <c:v>F</c:v>
                </c:pt>
                <c:pt idx="1">
                  <c:v>M</c:v>
                </c:pt>
              </c:strCache>
            </c:strRef>
          </c:cat>
          <c:val>
            <c:numRef>
              <c:f>analysyis!$C$12:$C$14</c:f>
              <c:numCache>
                <c:formatCode>General</c:formatCode>
                <c:ptCount val="2"/>
                <c:pt idx="0">
                  <c:v>36</c:v>
                </c:pt>
                <c:pt idx="1">
                  <c:v>32</c:v>
                </c:pt>
              </c:numCache>
            </c:numRef>
          </c:val>
          <c:extLst>
            <c:ext xmlns:c16="http://schemas.microsoft.com/office/drawing/2014/chart" uri="{C3380CC4-5D6E-409C-BE32-E72D297353CC}">
              <c16:uniqueId val="{00000000-C10F-458B-94C3-A764B9779EF1}"/>
            </c:ext>
          </c:extLst>
        </c:ser>
        <c:ser>
          <c:idx val="1"/>
          <c:order val="1"/>
          <c:tx>
            <c:strRef>
              <c:f>analysyis!$D$10:$D$11</c:f>
              <c:strCache>
                <c:ptCount val="1"/>
                <c:pt idx="0">
                  <c:v>Deceased</c:v>
                </c:pt>
              </c:strCache>
            </c:strRef>
          </c:tx>
          <c:spPr>
            <a:solidFill>
              <a:schemeClr val="accent2"/>
            </a:solidFill>
            <a:ln>
              <a:noFill/>
            </a:ln>
            <a:effectLst/>
          </c:spPr>
          <c:invertIfNegative val="0"/>
          <c:cat>
            <c:strRef>
              <c:f>analysyis!$B$12:$B$14</c:f>
              <c:strCache>
                <c:ptCount val="2"/>
                <c:pt idx="0">
                  <c:v>F</c:v>
                </c:pt>
                <c:pt idx="1">
                  <c:v>M</c:v>
                </c:pt>
              </c:strCache>
            </c:strRef>
          </c:cat>
          <c:val>
            <c:numRef>
              <c:f>analysyis!$D$12:$D$14</c:f>
              <c:numCache>
                <c:formatCode>General</c:formatCode>
                <c:ptCount val="2"/>
                <c:pt idx="0">
                  <c:v>32</c:v>
                </c:pt>
                <c:pt idx="1">
                  <c:v>37</c:v>
                </c:pt>
              </c:numCache>
            </c:numRef>
          </c:val>
          <c:extLst>
            <c:ext xmlns:c16="http://schemas.microsoft.com/office/drawing/2014/chart" uri="{C3380CC4-5D6E-409C-BE32-E72D297353CC}">
              <c16:uniqueId val="{0000001B-73A5-48A4-8C9C-B9E0E7E2EBA3}"/>
            </c:ext>
          </c:extLst>
        </c:ser>
        <c:ser>
          <c:idx val="2"/>
          <c:order val="2"/>
          <c:tx>
            <c:strRef>
              <c:f>analysyis!$E$10:$E$11</c:f>
              <c:strCache>
                <c:ptCount val="1"/>
                <c:pt idx="0">
                  <c:v>Recovered</c:v>
                </c:pt>
              </c:strCache>
            </c:strRef>
          </c:tx>
          <c:spPr>
            <a:solidFill>
              <a:schemeClr val="accent3"/>
            </a:solidFill>
            <a:ln>
              <a:noFill/>
            </a:ln>
            <a:effectLst/>
          </c:spPr>
          <c:invertIfNegative val="0"/>
          <c:cat>
            <c:strRef>
              <c:f>analysyis!$B$12:$B$14</c:f>
              <c:strCache>
                <c:ptCount val="2"/>
                <c:pt idx="0">
                  <c:v>F</c:v>
                </c:pt>
                <c:pt idx="1">
                  <c:v>M</c:v>
                </c:pt>
              </c:strCache>
            </c:strRef>
          </c:cat>
          <c:val>
            <c:numRef>
              <c:f>analysyis!$E$12:$E$14</c:f>
              <c:numCache>
                <c:formatCode>General</c:formatCode>
                <c:ptCount val="2"/>
                <c:pt idx="0">
                  <c:v>38</c:v>
                </c:pt>
                <c:pt idx="1">
                  <c:v>25</c:v>
                </c:pt>
              </c:numCache>
            </c:numRef>
          </c:val>
          <c:extLst>
            <c:ext xmlns:c16="http://schemas.microsoft.com/office/drawing/2014/chart" uri="{C3380CC4-5D6E-409C-BE32-E72D297353CC}">
              <c16:uniqueId val="{0000001C-73A5-48A4-8C9C-B9E0E7E2EBA3}"/>
            </c:ext>
          </c:extLst>
        </c:ser>
        <c:dLbls>
          <c:showLegendKey val="0"/>
          <c:showVal val="0"/>
          <c:showCatName val="0"/>
          <c:showSerName val="0"/>
          <c:showPercent val="0"/>
          <c:showBubbleSize val="0"/>
        </c:dLbls>
        <c:gapWidth val="219"/>
        <c:overlap val="-27"/>
        <c:axId val="1220666095"/>
        <c:axId val="1220665135"/>
      </c:barChart>
      <c:catAx>
        <c:axId val="12206660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665135"/>
        <c:crosses val="autoZero"/>
        <c:auto val="1"/>
        <c:lblAlgn val="ctr"/>
        <c:lblOffset val="100"/>
        <c:noMultiLvlLbl val="0"/>
      </c:catAx>
      <c:valAx>
        <c:axId val="122066513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patient</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666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outcome analysis and risk stratification.xlsx]analysyis!PivotTable2</c:name>
    <c:fmtId val="4"/>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analysyis!$I$10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C34-44E1-95C0-61DA55A695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C34-44E1-95C0-61DA55A6950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C34-44E1-95C0-61DA55A6950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analysyis!$H$11:$H$14</c:f>
              <c:strCache>
                <c:ptCount val="3"/>
                <c:pt idx="0">
                  <c:v>Complicated</c:v>
                </c:pt>
                <c:pt idx="1">
                  <c:v>Deceased</c:v>
                </c:pt>
                <c:pt idx="2">
                  <c:v>Recovered</c:v>
                </c:pt>
              </c:strCache>
            </c:strRef>
          </c:cat>
          <c:val>
            <c:numRef>
              <c:f>analysyis!$I$11:$I$14</c:f>
              <c:numCache>
                <c:formatCode>General</c:formatCode>
                <c:ptCount val="3"/>
                <c:pt idx="0">
                  <c:v>68</c:v>
                </c:pt>
                <c:pt idx="1">
                  <c:v>69</c:v>
                </c:pt>
                <c:pt idx="2">
                  <c:v>63</c:v>
                </c:pt>
              </c:numCache>
            </c:numRef>
          </c:val>
          <c:extLst>
            <c:ext xmlns:c16="http://schemas.microsoft.com/office/drawing/2014/chart" uri="{C3380CC4-5D6E-409C-BE32-E72D297353CC}">
              <c16:uniqueId val="{00000000-3DE4-4DCE-BA3E-F31A69210424}"/>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outcome analysis and risk stratification.xlsx]analysyis!PivotTable5</c:name>
    <c:fmtId val="9"/>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analysyis!$I$3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6F0-43CD-BA2B-5E38B79615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6F0-43CD-BA2B-5E38B796155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analysyis!$H$4:$H$6</c:f>
              <c:strCache>
                <c:ptCount val="2"/>
                <c:pt idx="0">
                  <c:v>F</c:v>
                </c:pt>
                <c:pt idx="1">
                  <c:v>M</c:v>
                </c:pt>
              </c:strCache>
            </c:strRef>
          </c:cat>
          <c:val>
            <c:numRef>
              <c:f>analysyis!$I$4:$I$6</c:f>
              <c:numCache>
                <c:formatCode>General</c:formatCode>
                <c:ptCount val="2"/>
                <c:pt idx="0">
                  <c:v>106</c:v>
                </c:pt>
                <c:pt idx="1">
                  <c:v>94</c:v>
                </c:pt>
              </c:numCache>
            </c:numRef>
          </c:val>
          <c:extLst>
            <c:ext xmlns:c16="http://schemas.microsoft.com/office/drawing/2014/chart" uri="{C3380CC4-5D6E-409C-BE32-E72D297353CC}">
              <c16:uniqueId val="{00000000-DC6E-45A2-A526-377CCB3EB4CC}"/>
            </c:ext>
          </c:extLst>
        </c:ser>
        <c:dLbls>
          <c:showLegendKey val="0"/>
          <c:showVal val="0"/>
          <c:showCatName val="0"/>
          <c:showSerName val="0"/>
          <c:showPercent val="0"/>
          <c:showBubbleSize val="0"/>
          <c:showLeaderLines val="0"/>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outcome analysis and risk stratification.xlsx]analysyis!PivotTable3</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analysyis!$O$10</c:f>
              <c:strCache>
                <c:ptCount val="1"/>
                <c:pt idx="0">
                  <c:v>Total</c:v>
                </c:pt>
              </c:strCache>
            </c:strRef>
          </c:tx>
          <c:spPr>
            <a:solidFill>
              <a:schemeClr val="accent1"/>
            </a:solidFill>
            <a:ln>
              <a:noFill/>
            </a:ln>
            <a:effectLst/>
          </c:spPr>
          <c:invertIfNegative val="0"/>
          <c:cat>
            <c:strRef>
              <c:f>analysyis!$N$11:$N$21</c:f>
              <c:strCache>
                <c:ptCount val="10"/>
                <c:pt idx="0">
                  <c:v>Arthritis</c:v>
                </c:pt>
                <c:pt idx="1">
                  <c:v>Kidney Disease</c:v>
                </c:pt>
                <c:pt idx="2">
                  <c:v>Stroke</c:v>
                </c:pt>
                <c:pt idx="3">
                  <c:v>Heart Disease</c:v>
                </c:pt>
                <c:pt idx="4">
                  <c:v>Cancer</c:v>
                </c:pt>
                <c:pt idx="5">
                  <c:v>Diabetes</c:v>
                </c:pt>
                <c:pt idx="6">
                  <c:v>Asthma</c:v>
                </c:pt>
                <c:pt idx="7">
                  <c:v>Liver Disease</c:v>
                </c:pt>
                <c:pt idx="8">
                  <c:v>Hypertension</c:v>
                </c:pt>
                <c:pt idx="9">
                  <c:v>COPD</c:v>
                </c:pt>
              </c:strCache>
            </c:strRef>
          </c:cat>
          <c:val>
            <c:numRef>
              <c:f>analysyis!$O$11:$O$21</c:f>
              <c:numCache>
                <c:formatCode>\₹0.00,"K"</c:formatCode>
                <c:ptCount val="10"/>
                <c:pt idx="0">
                  <c:v>6678.7647058823532</c:v>
                </c:pt>
                <c:pt idx="1">
                  <c:v>6329</c:v>
                </c:pt>
                <c:pt idx="2">
                  <c:v>6267.347826086957</c:v>
                </c:pt>
                <c:pt idx="3">
                  <c:v>6236.708333333333</c:v>
                </c:pt>
                <c:pt idx="4">
                  <c:v>6234.3888888888887</c:v>
                </c:pt>
                <c:pt idx="5">
                  <c:v>6153.1764705882351</c:v>
                </c:pt>
                <c:pt idx="6">
                  <c:v>6090.8235294117649</c:v>
                </c:pt>
                <c:pt idx="7">
                  <c:v>5976</c:v>
                </c:pt>
                <c:pt idx="8">
                  <c:v>5854.5</c:v>
                </c:pt>
                <c:pt idx="9">
                  <c:v>5532.7</c:v>
                </c:pt>
              </c:numCache>
            </c:numRef>
          </c:val>
          <c:extLst>
            <c:ext xmlns:c16="http://schemas.microsoft.com/office/drawing/2014/chart" uri="{C3380CC4-5D6E-409C-BE32-E72D297353CC}">
              <c16:uniqueId val="{00000000-786B-440B-B6F3-BBF475114DE8}"/>
            </c:ext>
          </c:extLst>
        </c:ser>
        <c:dLbls>
          <c:showLegendKey val="0"/>
          <c:showVal val="0"/>
          <c:showCatName val="0"/>
          <c:showSerName val="0"/>
          <c:showPercent val="0"/>
          <c:showBubbleSize val="0"/>
        </c:dLbls>
        <c:gapWidth val="182"/>
        <c:axId val="1352639855"/>
        <c:axId val="1352628815"/>
      </c:barChart>
      <c:catAx>
        <c:axId val="1352639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628815"/>
        <c:crosses val="autoZero"/>
        <c:auto val="1"/>
        <c:lblAlgn val="ctr"/>
        <c:lblOffset val="100"/>
        <c:noMultiLvlLbl val="0"/>
      </c:catAx>
      <c:valAx>
        <c:axId val="1352628815"/>
        <c:scaling>
          <c:orientation val="minMax"/>
        </c:scaling>
        <c:delete val="0"/>
        <c:axPos val="b"/>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639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outcome analysis and risk stratification.xlsx]analysyis!PivotTable3</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00FF00"/>
              </a:gs>
              <a:gs pos="100000">
                <a:srgbClr val="003300"/>
              </a:gs>
            </a:gsLst>
            <a:lin ang="36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00FF00"/>
              </a:gs>
              <a:gs pos="100000">
                <a:srgbClr val="003300"/>
              </a:gs>
            </a:gsLst>
            <a:lin ang="36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gradFill>
            <a:gsLst>
              <a:gs pos="0">
                <a:srgbClr val="00FF00"/>
              </a:gs>
              <a:gs pos="100000">
                <a:srgbClr val="003300"/>
              </a:gs>
            </a:gsLst>
            <a:lin ang="3600000" scaled="0"/>
          </a:gra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3855331841909"/>
                  <c:h val="0.21905442512755213"/>
                </c:manualLayout>
              </c15:layout>
            </c:ext>
          </c:extLst>
        </c:dLbl>
      </c:pivotFmt>
      <c:pivotFmt>
        <c:idx val="5"/>
        <c:spPr>
          <a:gradFill>
            <a:gsLst>
              <a:gs pos="0">
                <a:srgbClr val="00FF00"/>
              </a:gs>
              <a:gs pos="100000">
                <a:srgbClr val="003300"/>
              </a:gs>
            </a:gsLst>
            <a:lin ang="36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gradFill>
            <a:gsLst>
              <a:gs pos="0">
                <a:srgbClr val="00FF00"/>
              </a:gs>
              <a:gs pos="100000">
                <a:srgbClr val="003300"/>
              </a:gs>
            </a:gsLst>
            <a:lin ang="36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7"/>
        <c:spPr>
          <a:gradFill>
            <a:gsLst>
              <a:gs pos="0">
                <a:srgbClr val="00FF00"/>
              </a:gs>
              <a:gs pos="100000">
                <a:srgbClr val="003300"/>
              </a:gs>
            </a:gsLst>
            <a:lin ang="36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8"/>
        <c:spPr>
          <a:gradFill>
            <a:gsLst>
              <a:gs pos="0">
                <a:srgbClr val="00FF00"/>
              </a:gs>
              <a:gs pos="100000">
                <a:srgbClr val="003300"/>
              </a:gs>
            </a:gsLst>
            <a:lin ang="36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9"/>
        <c:spPr>
          <a:gradFill>
            <a:gsLst>
              <a:gs pos="0">
                <a:srgbClr val="00FF00"/>
              </a:gs>
              <a:gs pos="100000">
                <a:srgbClr val="003300"/>
              </a:gs>
            </a:gsLst>
            <a:lin ang="36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0"/>
        <c:spPr>
          <a:gradFill>
            <a:gsLst>
              <a:gs pos="0">
                <a:srgbClr val="00FF00"/>
              </a:gs>
              <a:gs pos="100000">
                <a:srgbClr val="003300"/>
              </a:gs>
            </a:gsLst>
            <a:lin ang="36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1"/>
        <c:spPr>
          <a:gradFill>
            <a:gsLst>
              <a:gs pos="0">
                <a:srgbClr val="00FF00"/>
              </a:gs>
              <a:gs pos="100000">
                <a:srgbClr val="003300"/>
              </a:gs>
            </a:gsLst>
            <a:lin ang="36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2"/>
        <c:spPr>
          <a:gradFill>
            <a:gsLst>
              <a:gs pos="0">
                <a:srgbClr val="00FF00"/>
              </a:gs>
              <a:gs pos="100000">
                <a:srgbClr val="003300"/>
              </a:gs>
            </a:gsLst>
            <a:lin ang="36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s>
    <c:plotArea>
      <c:layout>
        <c:manualLayout>
          <c:layoutTarget val="inner"/>
          <c:xMode val="edge"/>
          <c:yMode val="edge"/>
          <c:x val="0.2953252068323674"/>
          <c:y val="8.8008800880088014E-2"/>
          <c:w val="0.62958157914824409"/>
          <c:h val="0.80169607511932295"/>
        </c:manualLayout>
      </c:layout>
      <c:barChart>
        <c:barDir val="bar"/>
        <c:grouping val="clustered"/>
        <c:varyColors val="0"/>
        <c:ser>
          <c:idx val="0"/>
          <c:order val="0"/>
          <c:tx>
            <c:strRef>
              <c:f>analysyis!$O$10</c:f>
              <c:strCache>
                <c:ptCount val="1"/>
                <c:pt idx="0">
                  <c:v>Total</c:v>
                </c:pt>
              </c:strCache>
            </c:strRef>
          </c:tx>
          <c:spPr>
            <a:gradFill>
              <a:gsLst>
                <a:gs pos="0">
                  <a:srgbClr val="00FF00"/>
                </a:gs>
                <a:gs pos="100000">
                  <a:srgbClr val="003300"/>
                </a:gs>
              </a:gsLst>
              <a:lin ang="3600000" scaled="0"/>
            </a:gra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3855331841909"/>
                      <c:h val="0.21905442512755213"/>
                    </c:manualLayout>
                  </c15:layout>
                </c:ext>
                <c:ext xmlns:c16="http://schemas.microsoft.com/office/drawing/2014/chart" uri="{C3380CC4-5D6E-409C-BE32-E72D297353CC}">
                  <c16:uniqueId val="{00000002-B74A-42B5-9B92-534C32BA4C9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analysyis!$N$11:$N$21</c:f>
              <c:strCache>
                <c:ptCount val="10"/>
                <c:pt idx="0">
                  <c:v>Arthritis</c:v>
                </c:pt>
                <c:pt idx="1">
                  <c:v>Kidney Disease</c:v>
                </c:pt>
                <c:pt idx="2">
                  <c:v>Stroke</c:v>
                </c:pt>
                <c:pt idx="3">
                  <c:v>Heart Disease</c:v>
                </c:pt>
                <c:pt idx="4">
                  <c:v>Cancer</c:v>
                </c:pt>
                <c:pt idx="5">
                  <c:v>Diabetes</c:v>
                </c:pt>
                <c:pt idx="6">
                  <c:v>Asthma</c:v>
                </c:pt>
                <c:pt idx="7">
                  <c:v>Liver Disease</c:v>
                </c:pt>
                <c:pt idx="8">
                  <c:v>Hypertension</c:v>
                </c:pt>
                <c:pt idx="9">
                  <c:v>COPD</c:v>
                </c:pt>
              </c:strCache>
            </c:strRef>
          </c:cat>
          <c:val>
            <c:numRef>
              <c:f>analysyis!$O$11:$O$21</c:f>
              <c:numCache>
                <c:formatCode>\₹0.00,"K"</c:formatCode>
                <c:ptCount val="10"/>
                <c:pt idx="0">
                  <c:v>6678.7647058823532</c:v>
                </c:pt>
                <c:pt idx="1">
                  <c:v>6329</c:v>
                </c:pt>
                <c:pt idx="2">
                  <c:v>6267.347826086957</c:v>
                </c:pt>
                <c:pt idx="3">
                  <c:v>6236.708333333333</c:v>
                </c:pt>
                <c:pt idx="4">
                  <c:v>6234.3888888888887</c:v>
                </c:pt>
                <c:pt idx="5">
                  <c:v>6153.1764705882351</c:v>
                </c:pt>
                <c:pt idx="6">
                  <c:v>6090.8235294117649</c:v>
                </c:pt>
                <c:pt idx="7">
                  <c:v>5976</c:v>
                </c:pt>
                <c:pt idx="8">
                  <c:v>5854.5</c:v>
                </c:pt>
                <c:pt idx="9">
                  <c:v>5532.7</c:v>
                </c:pt>
              </c:numCache>
            </c:numRef>
          </c:val>
          <c:extLst>
            <c:ext xmlns:c16="http://schemas.microsoft.com/office/drawing/2014/chart" uri="{C3380CC4-5D6E-409C-BE32-E72D297353CC}">
              <c16:uniqueId val="{00000000-B74A-42B5-9B92-534C32BA4C99}"/>
            </c:ext>
          </c:extLst>
        </c:ser>
        <c:dLbls>
          <c:dLblPos val="outEnd"/>
          <c:showLegendKey val="0"/>
          <c:showVal val="1"/>
          <c:showCatName val="0"/>
          <c:showSerName val="0"/>
          <c:showPercent val="0"/>
          <c:showBubbleSize val="0"/>
        </c:dLbls>
        <c:gapWidth val="63"/>
        <c:overlap val="22"/>
        <c:axId val="1352639855"/>
        <c:axId val="1352628815"/>
      </c:barChart>
      <c:catAx>
        <c:axId val="1352639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352628815"/>
        <c:crosses val="autoZero"/>
        <c:auto val="1"/>
        <c:lblAlgn val="ctr"/>
        <c:lblOffset val="100"/>
        <c:noMultiLvlLbl val="0"/>
      </c:catAx>
      <c:valAx>
        <c:axId val="1352628815"/>
        <c:scaling>
          <c:orientation val="minMax"/>
        </c:scaling>
        <c:delete val="0"/>
        <c:axPos val="b"/>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352639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outcome analysis and risk stratification.xlsx]analysyis!PivotTable5</c:name>
    <c:fmtId val="11"/>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w="6350">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008000"/>
          </a:solidFill>
          <a:ln w="19050">
            <a:noFill/>
          </a:ln>
          <a:effectLst/>
        </c:spPr>
        <c:dLbl>
          <c:idx val="0"/>
          <c:layout>
            <c:manualLayout>
              <c:x val="0.16064283380240121"/>
              <c:y val="6.340615371448134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28B9244-47A2-480D-A8BE-0993063F264D}" type="CATEGORYNAME">
                  <a:rPr lang="en-US" sz="1200">
                    <a:solidFill>
                      <a:schemeClr val="tx1"/>
                    </a:solidFill>
                  </a:rPr>
                  <a:pPr>
                    <a:defRPr/>
                  </a:pPr>
                  <a:t>[CATEGORY NAME]</a:t>
                </a:fld>
                <a:r>
                  <a:rPr lang="en-US" sz="1200" baseline="0">
                    <a:solidFill>
                      <a:schemeClr val="tx1"/>
                    </a:solidFill>
                  </a:rPr>
                  <a:t>
</a:t>
                </a:r>
                <a:fld id="{08E6195B-9114-4249-9474-0755E19969EE}" type="PERCENTAGE">
                  <a:rPr lang="en-US" sz="1200" baseline="0">
                    <a:solidFill>
                      <a:schemeClr val="tx1"/>
                    </a:solidFill>
                  </a:rPr>
                  <a:pPr>
                    <a:defRPr/>
                  </a:pPr>
                  <a:t>[PERCENTAGE]</a:t>
                </a:fld>
                <a:endParaRPr lang="en-US" sz="1200" baseline="0">
                  <a:solidFill>
                    <a:schemeClr val="tx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750412641718755"/>
                  <c:h val="0.56476428818490698"/>
                </c:manualLayout>
              </c15:layout>
              <c15:dlblFieldTable/>
              <c15:showDataLabelsRange val="0"/>
            </c:ext>
          </c:extLst>
        </c:dLbl>
      </c:pivotFmt>
      <c:pivotFmt>
        <c:idx val="6"/>
        <c:spPr>
          <a:solidFill>
            <a:srgbClr val="00FF00"/>
          </a:solidFill>
          <a:ln w="19050">
            <a:noFill/>
          </a:ln>
          <a:effectLst/>
        </c:spPr>
        <c:dLbl>
          <c:idx val="0"/>
          <c:layout>
            <c:manualLayout>
              <c:x val="-0.19410977242302543"/>
              <c:y val="0.10869565217391304"/>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92240238-2A81-4465-813A-219E246D6FA4}" type="CATEGORYNAME">
                  <a:rPr lang="en-US" sz="1200">
                    <a:solidFill>
                      <a:schemeClr val="tx1"/>
                    </a:solidFill>
                  </a:rPr>
                  <a:pPr>
                    <a:defRPr/>
                  </a:pPr>
                  <a:t>[CATEGORY NAME]</a:t>
                </a:fld>
                <a:r>
                  <a:rPr lang="en-US" sz="1200" baseline="0">
                    <a:solidFill>
                      <a:schemeClr val="tx1"/>
                    </a:solidFill>
                  </a:rPr>
                  <a:t>
</a:t>
                </a:r>
                <a:fld id="{0A4076D2-5A77-44CA-A421-A1A1CBC7F468}" type="PERCENTAGE">
                  <a:rPr lang="en-US" sz="1200" baseline="0">
                    <a:solidFill>
                      <a:schemeClr val="tx1"/>
                    </a:solidFill>
                  </a:rPr>
                  <a:pPr>
                    <a:defRPr/>
                  </a:pPr>
                  <a:t>[PERCENTAGE]</a:t>
                </a:fld>
                <a:endParaRPr lang="en-US" sz="1200" baseline="0">
                  <a:solidFill>
                    <a:schemeClr val="tx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manualLayout>
          <c:layoutTarget val="inner"/>
          <c:xMode val="edge"/>
          <c:yMode val="edge"/>
          <c:x val="0.29049531459170014"/>
          <c:y val="0.12590579710144928"/>
          <c:w val="0.49933065595716197"/>
          <c:h val="0.67572463768115942"/>
        </c:manualLayout>
      </c:layout>
      <c:doughnutChart>
        <c:varyColors val="1"/>
        <c:ser>
          <c:idx val="0"/>
          <c:order val="0"/>
          <c:tx>
            <c:strRef>
              <c:f>analysyis!$I$3</c:f>
              <c:strCache>
                <c:ptCount val="1"/>
                <c:pt idx="0">
                  <c:v>Total</c:v>
                </c:pt>
              </c:strCache>
            </c:strRef>
          </c:tx>
          <c:spPr>
            <a:ln>
              <a:noFill/>
            </a:ln>
          </c:spPr>
          <c:dPt>
            <c:idx val="0"/>
            <c:bubble3D val="0"/>
            <c:spPr>
              <a:solidFill>
                <a:srgbClr val="008000"/>
              </a:solidFill>
              <a:ln w="19050">
                <a:noFill/>
              </a:ln>
              <a:effectLst/>
            </c:spPr>
            <c:extLst>
              <c:ext xmlns:c16="http://schemas.microsoft.com/office/drawing/2014/chart" uri="{C3380CC4-5D6E-409C-BE32-E72D297353CC}">
                <c16:uniqueId val="{00000001-DE73-456F-A024-B26EF0804AE9}"/>
              </c:ext>
            </c:extLst>
          </c:dPt>
          <c:dPt>
            <c:idx val="1"/>
            <c:bubble3D val="0"/>
            <c:spPr>
              <a:solidFill>
                <a:srgbClr val="00FF00"/>
              </a:solidFill>
              <a:ln w="19050">
                <a:noFill/>
              </a:ln>
              <a:effectLst/>
            </c:spPr>
            <c:extLst>
              <c:ext xmlns:c16="http://schemas.microsoft.com/office/drawing/2014/chart" uri="{C3380CC4-5D6E-409C-BE32-E72D297353CC}">
                <c16:uniqueId val="{00000003-DE73-456F-A024-B26EF0804AE9}"/>
              </c:ext>
            </c:extLst>
          </c:dPt>
          <c:dLbls>
            <c:dLbl>
              <c:idx val="0"/>
              <c:layout>
                <c:manualLayout>
                  <c:x val="0.16064283380240121"/>
                  <c:y val="6.340615371448134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28B9244-47A2-480D-A8BE-0993063F264D}" type="CATEGORYNAME">
                      <a:rPr lang="en-US" sz="1200">
                        <a:solidFill>
                          <a:schemeClr val="tx1"/>
                        </a:solidFill>
                      </a:rPr>
                      <a:pPr>
                        <a:defRPr/>
                      </a:pPr>
                      <a:t>[CATEGORY NAME]</a:t>
                    </a:fld>
                    <a:r>
                      <a:rPr lang="en-US" sz="1200" baseline="0">
                        <a:solidFill>
                          <a:schemeClr val="tx1"/>
                        </a:solidFill>
                      </a:rPr>
                      <a:t>
</a:t>
                    </a:r>
                    <a:fld id="{08E6195B-9114-4249-9474-0755E19969EE}" type="PERCENTAGE">
                      <a:rPr lang="en-US" sz="1200" baseline="0">
                        <a:solidFill>
                          <a:schemeClr val="tx1"/>
                        </a:solidFill>
                      </a:rPr>
                      <a:pPr>
                        <a:defRPr/>
                      </a:pPr>
                      <a:t>[PERCENTAGE]</a:t>
                    </a:fld>
                    <a:endParaRPr lang="en-US" sz="1200" baseline="0">
                      <a:solidFill>
                        <a:schemeClr val="tx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750412641718755"/>
                      <c:h val="0.56476428818490698"/>
                    </c:manualLayout>
                  </c15:layout>
                  <c15:dlblFieldTable/>
                  <c15:showDataLabelsRange val="0"/>
                </c:ext>
                <c:ext xmlns:c16="http://schemas.microsoft.com/office/drawing/2014/chart" uri="{C3380CC4-5D6E-409C-BE32-E72D297353CC}">
                  <c16:uniqueId val="{00000001-DE73-456F-A024-B26EF0804AE9}"/>
                </c:ext>
              </c:extLst>
            </c:dLbl>
            <c:dLbl>
              <c:idx val="1"/>
              <c:layout>
                <c:manualLayout>
                  <c:x val="-0.19410977242302543"/>
                  <c:y val="0.10869565217391304"/>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92240238-2A81-4465-813A-219E246D6FA4}" type="CATEGORYNAME">
                      <a:rPr lang="en-US" sz="1200">
                        <a:solidFill>
                          <a:schemeClr val="tx1"/>
                        </a:solidFill>
                      </a:rPr>
                      <a:pPr>
                        <a:defRPr/>
                      </a:pPr>
                      <a:t>[CATEGORY NAME]</a:t>
                    </a:fld>
                    <a:r>
                      <a:rPr lang="en-US" sz="1200" baseline="0">
                        <a:solidFill>
                          <a:schemeClr val="tx1"/>
                        </a:solidFill>
                      </a:rPr>
                      <a:t>
</a:t>
                    </a:r>
                    <a:fld id="{0A4076D2-5A77-44CA-A421-A1A1CBC7F468}" type="PERCENTAGE">
                      <a:rPr lang="en-US" sz="1200" baseline="0">
                        <a:solidFill>
                          <a:schemeClr val="tx1"/>
                        </a:solidFill>
                      </a:rPr>
                      <a:pPr>
                        <a:defRPr/>
                      </a:pPr>
                      <a:t>[PERCENTAGE]</a:t>
                    </a:fld>
                    <a:endParaRPr lang="en-US" sz="1200" baseline="0">
                      <a:solidFill>
                        <a:schemeClr val="tx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3-DE73-456F-A024-B26EF0804AE9}"/>
                </c:ext>
              </c:extLst>
            </c:dLbl>
            <c:spPr>
              <a:noFill/>
              <a:ln w="6350">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analysyis!$H$4:$H$6</c:f>
              <c:strCache>
                <c:ptCount val="2"/>
                <c:pt idx="0">
                  <c:v>F</c:v>
                </c:pt>
                <c:pt idx="1">
                  <c:v>M</c:v>
                </c:pt>
              </c:strCache>
            </c:strRef>
          </c:cat>
          <c:val>
            <c:numRef>
              <c:f>analysyis!$I$4:$I$6</c:f>
              <c:numCache>
                <c:formatCode>General</c:formatCode>
                <c:ptCount val="2"/>
                <c:pt idx="0">
                  <c:v>106</c:v>
                </c:pt>
                <c:pt idx="1">
                  <c:v>94</c:v>
                </c:pt>
              </c:numCache>
            </c:numRef>
          </c:val>
          <c:extLst>
            <c:ext xmlns:c16="http://schemas.microsoft.com/office/drawing/2014/chart" uri="{C3380CC4-5D6E-409C-BE32-E72D297353CC}">
              <c16:uniqueId val="{00000004-DE73-456F-A024-B26EF0804AE9}"/>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[health outcome analysis and risk stratification.xlsx]analysyis!PivotTable1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analysyis!$C$10:$C$11</c:f>
              <c:strCache>
                <c:ptCount val="1"/>
                <c:pt idx="0">
                  <c:v>Complicated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analysyis!$B$12:$B$14</c:f>
              <c:strCache>
                <c:ptCount val="2"/>
                <c:pt idx="0">
                  <c:v>F</c:v>
                </c:pt>
                <c:pt idx="1">
                  <c:v>M</c:v>
                </c:pt>
              </c:strCache>
            </c:strRef>
          </c:cat>
          <c:val>
            <c:numRef>
              <c:f>analysyis!$C$12:$C$14</c:f>
              <c:numCache>
                <c:formatCode>General</c:formatCode>
                <c:ptCount val="2"/>
                <c:pt idx="0">
                  <c:v>36</c:v>
                </c:pt>
                <c:pt idx="1">
                  <c:v>32</c:v>
                </c:pt>
              </c:numCache>
            </c:numRef>
          </c:val>
          <c:extLst>
            <c:ext xmlns:c16="http://schemas.microsoft.com/office/drawing/2014/chart" uri="{C3380CC4-5D6E-409C-BE32-E72D297353CC}">
              <c16:uniqueId val="{00000000-5C49-4E40-8E6C-982CC7CA30AF}"/>
            </c:ext>
          </c:extLst>
        </c:ser>
        <c:ser>
          <c:idx val="1"/>
          <c:order val="1"/>
          <c:tx>
            <c:strRef>
              <c:f>analysyis!$D$10:$D$11</c:f>
              <c:strCache>
                <c:ptCount val="1"/>
                <c:pt idx="0">
                  <c:v>Deceased</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analysyis!$B$12:$B$14</c:f>
              <c:strCache>
                <c:ptCount val="2"/>
                <c:pt idx="0">
                  <c:v>F</c:v>
                </c:pt>
                <c:pt idx="1">
                  <c:v>M</c:v>
                </c:pt>
              </c:strCache>
            </c:strRef>
          </c:cat>
          <c:val>
            <c:numRef>
              <c:f>analysyis!$D$12:$D$14</c:f>
              <c:numCache>
                <c:formatCode>General</c:formatCode>
                <c:ptCount val="2"/>
                <c:pt idx="0">
                  <c:v>32</c:v>
                </c:pt>
                <c:pt idx="1">
                  <c:v>37</c:v>
                </c:pt>
              </c:numCache>
            </c:numRef>
          </c:val>
          <c:extLst>
            <c:ext xmlns:c16="http://schemas.microsoft.com/office/drawing/2014/chart" uri="{C3380CC4-5D6E-409C-BE32-E72D297353CC}">
              <c16:uniqueId val="{00000014-5C49-4E40-8E6C-982CC7CA30AF}"/>
            </c:ext>
          </c:extLst>
        </c:ser>
        <c:ser>
          <c:idx val="2"/>
          <c:order val="2"/>
          <c:tx>
            <c:strRef>
              <c:f>analysyis!$E$10:$E$11</c:f>
              <c:strCache>
                <c:ptCount val="1"/>
                <c:pt idx="0">
                  <c:v>Recovered</c:v>
                </c:pt>
              </c:strCache>
            </c:strRef>
          </c:tx>
          <c:spPr>
            <a:solidFill>
              <a:srgbClr val="0066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analysyis!$B$12:$B$14</c:f>
              <c:strCache>
                <c:ptCount val="2"/>
                <c:pt idx="0">
                  <c:v>F</c:v>
                </c:pt>
                <c:pt idx="1">
                  <c:v>M</c:v>
                </c:pt>
              </c:strCache>
            </c:strRef>
          </c:cat>
          <c:val>
            <c:numRef>
              <c:f>analysyis!$E$12:$E$14</c:f>
              <c:numCache>
                <c:formatCode>General</c:formatCode>
                <c:ptCount val="2"/>
                <c:pt idx="0">
                  <c:v>38</c:v>
                </c:pt>
                <c:pt idx="1">
                  <c:v>25</c:v>
                </c:pt>
              </c:numCache>
            </c:numRef>
          </c:val>
          <c:extLst>
            <c:ext xmlns:c16="http://schemas.microsoft.com/office/drawing/2014/chart" uri="{C3380CC4-5D6E-409C-BE32-E72D297353CC}">
              <c16:uniqueId val="{00000015-5C49-4E40-8E6C-982CC7CA30AF}"/>
            </c:ext>
          </c:extLst>
        </c:ser>
        <c:dLbls>
          <c:dLblPos val="outEnd"/>
          <c:showLegendKey val="0"/>
          <c:showVal val="1"/>
          <c:showCatName val="0"/>
          <c:showSerName val="0"/>
          <c:showPercent val="0"/>
          <c:showBubbleSize val="0"/>
        </c:dLbls>
        <c:gapWidth val="219"/>
        <c:axId val="1220666095"/>
        <c:axId val="1220665135"/>
      </c:barChart>
      <c:catAx>
        <c:axId val="12206660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665135"/>
        <c:crosses val="autoZero"/>
        <c:auto val="1"/>
        <c:lblAlgn val="ctr"/>
        <c:lblOffset val="100"/>
        <c:noMultiLvlLbl val="0"/>
      </c:catAx>
      <c:valAx>
        <c:axId val="12206651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666095"/>
        <c:crosses val="autoZero"/>
        <c:crossBetween val="between"/>
      </c:valAx>
      <c:spPr>
        <a:noFill/>
        <a:ln>
          <a:noFill/>
        </a:ln>
        <a:effectLst/>
      </c:spPr>
    </c:plotArea>
    <c:legend>
      <c:legendPos val="t"/>
      <c:layout>
        <c:manualLayout>
          <c:xMode val="edge"/>
          <c:yMode val="edge"/>
          <c:x val="0.1150398587144692"/>
          <c:y val="5.4644808743169397E-2"/>
          <c:w val="0.70302823062610131"/>
          <c:h val="9.282243184948417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662940</xdr:colOff>
      <xdr:row>14</xdr:row>
      <xdr:rowOff>60960</xdr:rowOff>
    </xdr:from>
    <xdr:to>
      <xdr:col>5</xdr:col>
      <xdr:colOff>716280</xdr:colOff>
      <xdr:row>29</xdr:row>
      <xdr:rowOff>60960</xdr:rowOff>
    </xdr:to>
    <xdr:graphicFrame macro="">
      <xdr:nvGraphicFramePr>
        <xdr:cNvPr id="2" name="Chart 1">
          <a:extLst>
            <a:ext uri="{FF2B5EF4-FFF2-40B4-BE49-F238E27FC236}">
              <a16:creationId xmlns:a16="http://schemas.microsoft.com/office/drawing/2014/main" id="{EBDD17CE-AE2B-7CD7-AF0D-E78932D2B4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525780</xdr:colOff>
      <xdr:row>14</xdr:row>
      <xdr:rowOff>91440</xdr:rowOff>
    </xdr:from>
    <xdr:to>
      <xdr:col>10</xdr:col>
      <xdr:colOff>83820</xdr:colOff>
      <xdr:row>22</xdr:row>
      <xdr:rowOff>152400</xdr:rowOff>
    </xdr:to>
    <xdr:graphicFrame macro="">
      <xdr:nvGraphicFramePr>
        <xdr:cNvPr id="3" name="Chart 2">
          <a:extLst>
            <a:ext uri="{FF2B5EF4-FFF2-40B4-BE49-F238E27FC236}">
              <a16:creationId xmlns:a16="http://schemas.microsoft.com/office/drawing/2014/main" id="{E153D069-EF85-B7B5-B0F9-F305973899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68580</xdr:colOff>
      <xdr:row>1</xdr:row>
      <xdr:rowOff>30480</xdr:rowOff>
    </xdr:from>
    <xdr:to>
      <xdr:col>10</xdr:col>
      <xdr:colOff>312420</xdr:colOff>
      <xdr:row>7</xdr:row>
      <xdr:rowOff>167640</xdr:rowOff>
    </xdr:to>
    <xdr:graphicFrame macro="">
      <xdr:nvGraphicFramePr>
        <xdr:cNvPr id="5" name="Chart 4">
          <a:extLst>
            <a:ext uri="{FF2B5EF4-FFF2-40B4-BE49-F238E27FC236}">
              <a16:creationId xmlns:a16="http://schemas.microsoft.com/office/drawing/2014/main" id="{F515E205-972B-3602-D50E-2AB7F0E3A4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15240</xdr:colOff>
      <xdr:row>21</xdr:row>
      <xdr:rowOff>99060</xdr:rowOff>
    </xdr:from>
    <xdr:to>
      <xdr:col>16</xdr:col>
      <xdr:colOff>7620</xdr:colOff>
      <xdr:row>36</xdr:row>
      <xdr:rowOff>99060</xdr:rowOff>
    </xdr:to>
    <xdr:graphicFrame macro="">
      <xdr:nvGraphicFramePr>
        <xdr:cNvPr id="4" name="Chart 3">
          <a:extLst>
            <a:ext uri="{FF2B5EF4-FFF2-40B4-BE49-F238E27FC236}">
              <a16:creationId xmlns:a16="http://schemas.microsoft.com/office/drawing/2014/main" id="{FADC82E0-5C43-9CFD-0820-7975AD79EB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891540</xdr:colOff>
      <xdr:row>0</xdr:row>
      <xdr:rowOff>152401</xdr:rowOff>
    </xdr:from>
    <xdr:to>
      <xdr:col>14</xdr:col>
      <xdr:colOff>205740</xdr:colOff>
      <xdr:row>4</xdr:row>
      <xdr:rowOff>7621</xdr:rowOff>
    </xdr:to>
    <mc:AlternateContent xmlns:mc="http://schemas.openxmlformats.org/markup-compatibility/2006">
      <mc:Choice xmlns:a14="http://schemas.microsoft.com/office/drawing/2010/main" Requires="a14">
        <xdr:graphicFrame macro="">
          <xdr:nvGraphicFramePr>
            <xdr:cNvPr id="8" name="Name">
              <a:extLst>
                <a:ext uri="{FF2B5EF4-FFF2-40B4-BE49-F238E27FC236}">
                  <a16:creationId xmlns:a16="http://schemas.microsoft.com/office/drawing/2014/main" id="{43EA7271-4CC4-A764-7CD4-C11B3CA5B8C9}"/>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dr:sp macro="" textlink="">
          <xdr:nvSpPr>
            <xdr:cNvPr id="0" name=""/>
            <xdr:cNvSpPr>
              <a:spLocks noTextEdit="1"/>
            </xdr:cNvSpPr>
          </xdr:nvSpPr>
          <xdr:spPr>
            <a:xfrm>
              <a:off x="10111740" y="152401"/>
              <a:ext cx="1828800" cy="586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228600</xdr:colOff>
      <xdr:row>0</xdr:row>
      <xdr:rowOff>144781</xdr:rowOff>
    </xdr:from>
    <xdr:to>
      <xdr:col>15</xdr:col>
      <xdr:colOff>457200</xdr:colOff>
      <xdr:row>4</xdr:row>
      <xdr:rowOff>53341</xdr:rowOff>
    </xdr:to>
    <mc:AlternateContent xmlns:mc="http://schemas.openxmlformats.org/markup-compatibility/2006">
      <mc:Choice xmlns:a14="http://schemas.microsoft.com/office/drawing/2010/main" Requires="a14">
        <xdr:graphicFrame macro="">
          <xdr:nvGraphicFramePr>
            <xdr:cNvPr id="9" name="PatientID">
              <a:extLst>
                <a:ext uri="{FF2B5EF4-FFF2-40B4-BE49-F238E27FC236}">
                  <a16:creationId xmlns:a16="http://schemas.microsoft.com/office/drawing/2014/main" id="{4404E45E-7AB4-056C-3017-85822743909F}"/>
                </a:ext>
              </a:extLst>
            </xdr:cNvPr>
            <xdr:cNvGraphicFramePr/>
          </xdr:nvGraphicFramePr>
          <xdr:xfrm>
            <a:off x="0" y="0"/>
            <a:ext cx="0" cy="0"/>
          </xdr:xfrm>
          <a:graphic>
            <a:graphicData uri="http://schemas.microsoft.com/office/drawing/2010/slicer">
              <sle:slicer xmlns:sle="http://schemas.microsoft.com/office/drawing/2010/slicer" name="PatientID"/>
            </a:graphicData>
          </a:graphic>
        </xdr:graphicFrame>
      </mc:Choice>
      <mc:Fallback>
        <xdr:sp macro="" textlink="">
          <xdr:nvSpPr>
            <xdr:cNvPr id="0" name=""/>
            <xdr:cNvSpPr>
              <a:spLocks noTextEdit="1"/>
            </xdr:cNvSpPr>
          </xdr:nvSpPr>
          <xdr:spPr>
            <a:xfrm>
              <a:off x="11963400" y="144781"/>
              <a:ext cx="1828800"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243840</xdr:colOff>
      <xdr:row>4</xdr:row>
      <xdr:rowOff>15240</xdr:rowOff>
    </xdr:from>
    <xdr:to>
      <xdr:col>15</xdr:col>
      <xdr:colOff>472440</xdr:colOff>
      <xdr:row>7</xdr:row>
      <xdr:rowOff>121919</xdr:rowOff>
    </xdr:to>
    <mc:AlternateContent xmlns:mc="http://schemas.openxmlformats.org/markup-compatibility/2006">
      <mc:Choice xmlns:a14="http://schemas.microsoft.com/office/drawing/2010/main" Requires="a14">
        <xdr:graphicFrame macro="">
          <xdr:nvGraphicFramePr>
            <xdr:cNvPr id="11" name="test perform">
              <a:extLst>
                <a:ext uri="{FF2B5EF4-FFF2-40B4-BE49-F238E27FC236}">
                  <a16:creationId xmlns:a16="http://schemas.microsoft.com/office/drawing/2014/main" id="{2972ADD6-17D2-4CC0-615A-0C54932DF87F}"/>
                </a:ext>
              </a:extLst>
            </xdr:cNvPr>
            <xdr:cNvGraphicFramePr/>
          </xdr:nvGraphicFramePr>
          <xdr:xfrm>
            <a:off x="0" y="0"/>
            <a:ext cx="0" cy="0"/>
          </xdr:xfrm>
          <a:graphic>
            <a:graphicData uri="http://schemas.microsoft.com/office/drawing/2010/slicer">
              <sle:slicer xmlns:sle="http://schemas.microsoft.com/office/drawing/2010/slicer" name="test perform"/>
            </a:graphicData>
          </a:graphic>
        </xdr:graphicFrame>
      </mc:Choice>
      <mc:Fallback>
        <xdr:sp macro="" textlink="">
          <xdr:nvSpPr>
            <xdr:cNvPr id="0" name=""/>
            <xdr:cNvSpPr>
              <a:spLocks noTextEdit="1"/>
            </xdr:cNvSpPr>
          </xdr:nvSpPr>
          <xdr:spPr>
            <a:xfrm>
              <a:off x="11978640" y="746760"/>
              <a:ext cx="1828800" cy="6553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914400</xdr:colOff>
      <xdr:row>4</xdr:row>
      <xdr:rowOff>15241</xdr:rowOff>
    </xdr:from>
    <xdr:to>
      <xdr:col>14</xdr:col>
      <xdr:colOff>228600</xdr:colOff>
      <xdr:row>7</xdr:row>
      <xdr:rowOff>38101</xdr:rowOff>
    </xdr:to>
    <mc:AlternateContent xmlns:mc="http://schemas.openxmlformats.org/markup-compatibility/2006">
      <mc:Choice xmlns:a14="http://schemas.microsoft.com/office/drawing/2010/main" Requires="a14">
        <xdr:graphicFrame macro="">
          <xdr:nvGraphicFramePr>
            <xdr:cNvPr id="12" name="result">
              <a:extLst>
                <a:ext uri="{FF2B5EF4-FFF2-40B4-BE49-F238E27FC236}">
                  <a16:creationId xmlns:a16="http://schemas.microsoft.com/office/drawing/2014/main" id="{5C1CC74B-7F9E-4045-17EB-008AE6604912}"/>
                </a:ext>
              </a:extLst>
            </xdr:cNvPr>
            <xdr:cNvGraphicFramePr/>
          </xdr:nvGraphicFramePr>
          <xdr:xfrm>
            <a:off x="0" y="0"/>
            <a:ext cx="0" cy="0"/>
          </xdr:xfrm>
          <a:graphic>
            <a:graphicData uri="http://schemas.microsoft.com/office/drawing/2010/slicer">
              <sle:slicer xmlns:sle="http://schemas.microsoft.com/office/drawing/2010/slicer" name="result"/>
            </a:graphicData>
          </a:graphic>
        </xdr:graphicFrame>
      </mc:Choice>
      <mc:Fallback>
        <xdr:sp macro="" textlink="">
          <xdr:nvSpPr>
            <xdr:cNvPr id="0" name=""/>
            <xdr:cNvSpPr>
              <a:spLocks noTextEdit="1"/>
            </xdr:cNvSpPr>
          </xdr:nvSpPr>
          <xdr:spPr>
            <a:xfrm>
              <a:off x="10134600" y="746761"/>
              <a:ext cx="1828800" cy="571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144780</xdr:colOff>
      <xdr:row>0</xdr:row>
      <xdr:rowOff>114300</xdr:rowOff>
    </xdr:from>
    <xdr:to>
      <xdr:col>21</xdr:col>
      <xdr:colOff>106680</xdr:colOff>
      <xdr:row>28</xdr:row>
      <xdr:rowOff>60960</xdr:rowOff>
    </xdr:to>
    <xdr:sp macro="" textlink="">
      <xdr:nvSpPr>
        <xdr:cNvPr id="2" name="Rectangle 1">
          <a:extLst>
            <a:ext uri="{FF2B5EF4-FFF2-40B4-BE49-F238E27FC236}">
              <a16:creationId xmlns:a16="http://schemas.microsoft.com/office/drawing/2014/main" id="{C894E7AC-315D-A456-8E3A-21D3F04A2559}"/>
            </a:ext>
          </a:extLst>
        </xdr:cNvPr>
        <xdr:cNvSpPr/>
      </xdr:nvSpPr>
      <xdr:spPr>
        <a:xfrm>
          <a:off x="2583180" y="114300"/>
          <a:ext cx="10325100" cy="5067300"/>
        </a:xfrm>
        <a:prstGeom prst="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381000</xdr:colOff>
      <xdr:row>4</xdr:row>
      <xdr:rowOff>175260</xdr:rowOff>
    </xdr:from>
    <xdr:to>
      <xdr:col>6</xdr:col>
      <xdr:colOff>556260</xdr:colOff>
      <xdr:row>10</xdr:row>
      <xdr:rowOff>45720</xdr:rowOff>
    </xdr:to>
    <xdr:sp macro="" textlink="">
      <xdr:nvSpPr>
        <xdr:cNvPr id="4" name="Rectangle: Rounded Corners 3">
          <a:extLst>
            <a:ext uri="{FF2B5EF4-FFF2-40B4-BE49-F238E27FC236}">
              <a16:creationId xmlns:a16="http://schemas.microsoft.com/office/drawing/2014/main" id="{5CB85CDC-E540-CB74-A0EB-C959D42BCEF3}"/>
            </a:ext>
          </a:extLst>
        </xdr:cNvPr>
        <xdr:cNvSpPr/>
      </xdr:nvSpPr>
      <xdr:spPr>
        <a:xfrm>
          <a:off x="2819400" y="906780"/>
          <a:ext cx="1394460" cy="96774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548640</xdr:colOff>
      <xdr:row>4</xdr:row>
      <xdr:rowOff>175260</xdr:rowOff>
    </xdr:from>
    <xdr:to>
      <xdr:col>10</xdr:col>
      <xdr:colOff>114300</xdr:colOff>
      <xdr:row>10</xdr:row>
      <xdr:rowOff>45720</xdr:rowOff>
    </xdr:to>
    <xdr:sp macro="" textlink="">
      <xdr:nvSpPr>
        <xdr:cNvPr id="5" name="Rectangle: Rounded Corners 4">
          <a:extLst>
            <a:ext uri="{FF2B5EF4-FFF2-40B4-BE49-F238E27FC236}">
              <a16:creationId xmlns:a16="http://schemas.microsoft.com/office/drawing/2014/main" id="{BA7A1A69-54AC-42CE-A06E-0133E0412419}"/>
            </a:ext>
          </a:extLst>
        </xdr:cNvPr>
        <xdr:cNvSpPr/>
      </xdr:nvSpPr>
      <xdr:spPr>
        <a:xfrm>
          <a:off x="4815840" y="906780"/>
          <a:ext cx="1394460" cy="96774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365760</xdr:colOff>
      <xdr:row>5</xdr:row>
      <xdr:rowOff>7620</xdr:rowOff>
    </xdr:from>
    <xdr:to>
      <xdr:col>16</xdr:col>
      <xdr:colOff>541020</xdr:colOff>
      <xdr:row>10</xdr:row>
      <xdr:rowOff>60960</xdr:rowOff>
    </xdr:to>
    <xdr:sp macro="" textlink="">
      <xdr:nvSpPr>
        <xdr:cNvPr id="6" name="Rectangle: Rounded Corners 5">
          <a:extLst>
            <a:ext uri="{FF2B5EF4-FFF2-40B4-BE49-F238E27FC236}">
              <a16:creationId xmlns:a16="http://schemas.microsoft.com/office/drawing/2014/main" id="{9CC617A0-7BAC-4C13-8CAF-410A41FF69BF}"/>
            </a:ext>
          </a:extLst>
        </xdr:cNvPr>
        <xdr:cNvSpPr/>
      </xdr:nvSpPr>
      <xdr:spPr>
        <a:xfrm>
          <a:off x="8900160" y="922020"/>
          <a:ext cx="1394460" cy="96774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137160</xdr:colOff>
      <xdr:row>5</xdr:row>
      <xdr:rowOff>0</xdr:rowOff>
    </xdr:from>
    <xdr:to>
      <xdr:col>13</xdr:col>
      <xdr:colOff>312420</xdr:colOff>
      <xdr:row>10</xdr:row>
      <xdr:rowOff>53340</xdr:rowOff>
    </xdr:to>
    <xdr:sp macro="" textlink="">
      <xdr:nvSpPr>
        <xdr:cNvPr id="7" name="Rectangle: Rounded Corners 6">
          <a:extLst>
            <a:ext uri="{FF2B5EF4-FFF2-40B4-BE49-F238E27FC236}">
              <a16:creationId xmlns:a16="http://schemas.microsoft.com/office/drawing/2014/main" id="{5526C4DB-DA55-49EC-A0AE-B39480126B44}"/>
            </a:ext>
          </a:extLst>
        </xdr:cNvPr>
        <xdr:cNvSpPr/>
      </xdr:nvSpPr>
      <xdr:spPr>
        <a:xfrm>
          <a:off x="6842760" y="914400"/>
          <a:ext cx="1394460" cy="96774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601980</xdr:colOff>
      <xdr:row>6</xdr:row>
      <xdr:rowOff>0</xdr:rowOff>
    </xdr:from>
    <xdr:to>
      <xdr:col>6</xdr:col>
      <xdr:colOff>487680</xdr:colOff>
      <xdr:row>8</xdr:row>
      <xdr:rowOff>83820</xdr:rowOff>
    </xdr:to>
    <xdr:sp macro="" textlink="">
      <xdr:nvSpPr>
        <xdr:cNvPr id="8" name="TextBox 7">
          <a:extLst>
            <a:ext uri="{FF2B5EF4-FFF2-40B4-BE49-F238E27FC236}">
              <a16:creationId xmlns:a16="http://schemas.microsoft.com/office/drawing/2014/main" id="{935449E5-71CE-2E1E-51A9-F8B8A998653D}"/>
            </a:ext>
          </a:extLst>
        </xdr:cNvPr>
        <xdr:cNvSpPr txBox="1"/>
      </xdr:nvSpPr>
      <xdr:spPr>
        <a:xfrm>
          <a:off x="3040380" y="1097280"/>
          <a:ext cx="110490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a:t>
          </a:r>
          <a:r>
            <a:rPr lang="en-US" sz="1200" b="1" baseline="0"/>
            <a:t> Patient</a:t>
          </a:r>
          <a:endParaRPr lang="en-US" sz="1200" b="1"/>
        </a:p>
      </xdr:txBody>
    </xdr:sp>
    <xdr:clientData/>
  </xdr:twoCellAnchor>
  <xdr:oneCellAnchor>
    <xdr:from>
      <xdr:col>18</xdr:col>
      <xdr:colOff>144780</xdr:colOff>
      <xdr:row>6</xdr:row>
      <xdr:rowOff>22860</xdr:rowOff>
    </xdr:from>
    <xdr:ext cx="184731" cy="264560"/>
    <xdr:sp macro="" textlink="">
      <xdr:nvSpPr>
        <xdr:cNvPr id="9" name="TextBox 8">
          <a:extLst>
            <a:ext uri="{FF2B5EF4-FFF2-40B4-BE49-F238E27FC236}">
              <a16:creationId xmlns:a16="http://schemas.microsoft.com/office/drawing/2014/main" id="{582DF082-C1C3-420A-F9CF-6A8BC7A715D7}"/>
            </a:ext>
          </a:extLst>
        </xdr:cNvPr>
        <xdr:cNvSpPr txBox="1"/>
      </xdr:nvSpPr>
      <xdr:spPr>
        <a:xfrm>
          <a:off x="11117580" y="11201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8</xdr:col>
      <xdr:colOff>83820</xdr:colOff>
      <xdr:row>5</xdr:row>
      <xdr:rowOff>123190</xdr:rowOff>
    </xdr:from>
    <xdr:to>
      <xdr:col>9</xdr:col>
      <xdr:colOff>579120</xdr:colOff>
      <xdr:row>8</xdr:row>
      <xdr:rowOff>24130</xdr:rowOff>
    </xdr:to>
    <xdr:sp macro="" textlink="">
      <xdr:nvSpPr>
        <xdr:cNvPr id="11" name="TextBox 10">
          <a:extLst>
            <a:ext uri="{FF2B5EF4-FFF2-40B4-BE49-F238E27FC236}">
              <a16:creationId xmlns:a16="http://schemas.microsoft.com/office/drawing/2014/main" id="{A3F1C3DA-F2EA-4B1F-A4F0-7A4D1A995043}"/>
            </a:ext>
          </a:extLst>
        </xdr:cNvPr>
        <xdr:cNvSpPr txBox="1"/>
      </xdr:nvSpPr>
      <xdr:spPr>
        <a:xfrm>
          <a:off x="4960620" y="1037590"/>
          <a:ext cx="110490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Average</a:t>
          </a:r>
          <a:r>
            <a:rPr lang="en-US" sz="1200" b="1" baseline="0"/>
            <a:t> Age</a:t>
          </a:r>
          <a:endParaRPr lang="en-US" sz="1200" b="1"/>
        </a:p>
      </xdr:txBody>
    </xdr:sp>
    <xdr:clientData/>
  </xdr:twoCellAnchor>
  <xdr:twoCellAnchor>
    <xdr:from>
      <xdr:col>11</xdr:col>
      <xdr:colOff>60960</xdr:colOff>
      <xdr:row>5</xdr:row>
      <xdr:rowOff>33020</xdr:rowOff>
    </xdr:from>
    <xdr:to>
      <xdr:col>13</xdr:col>
      <xdr:colOff>495300</xdr:colOff>
      <xdr:row>7</xdr:row>
      <xdr:rowOff>116840</xdr:rowOff>
    </xdr:to>
    <xdr:sp macro="" textlink="">
      <xdr:nvSpPr>
        <xdr:cNvPr id="12" name="TextBox 11">
          <a:extLst>
            <a:ext uri="{FF2B5EF4-FFF2-40B4-BE49-F238E27FC236}">
              <a16:creationId xmlns:a16="http://schemas.microsoft.com/office/drawing/2014/main" id="{87D805BA-99DD-4A75-8249-A5378268D95E}"/>
            </a:ext>
          </a:extLst>
        </xdr:cNvPr>
        <xdr:cNvSpPr txBox="1"/>
      </xdr:nvSpPr>
      <xdr:spPr>
        <a:xfrm>
          <a:off x="6766560" y="947420"/>
          <a:ext cx="165354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a:t>
          </a:r>
          <a:r>
            <a:rPr lang="en-US" sz="1200" b="1" baseline="0"/>
            <a:t> Treatment Cost</a:t>
          </a:r>
        </a:p>
        <a:p>
          <a:endParaRPr lang="en-US" sz="1200" b="1"/>
        </a:p>
      </xdr:txBody>
    </xdr:sp>
    <xdr:clientData/>
  </xdr:twoCellAnchor>
  <xdr:twoCellAnchor>
    <xdr:from>
      <xdr:col>14</xdr:col>
      <xdr:colOff>419100</xdr:colOff>
      <xdr:row>5</xdr:row>
      <xdr:rowOff>125730</xdr:rowOff>
    </xdr:from>
    <xdr:to>
      <xdr:col>17</xdr:col>
      <xdr:colOff>38100</xdr:colOff>
      <xdr:row>7</xdr:row>
      <xdr:rowOff>156210</xdr:rowOff>
    </xdr:to>
    <xdr:sp macro="" textlink="">
      <xdr:nvSpPr>
        <xdr:cNvPr id="13" name="TextBox 12">
          <a:extLst>
            <a:ext uri="{FF2B5EF4-FFF2-40B4-BE49-F238E27FC236}">
              <a16:creationId xmlns:a16="http://schemas.microsoft.com/office/drawing/2014/main" id="{E5DBDD78-CA27-4C57-B7AE-DF7B5CCE414E}"/>
            </a:ext>
          </a:extLst>
        </xdr:cNvPr>
        <xdr:cNvSpPr txBox="1"/>
      </xdr:nvSpPr>
      <xdr:spPr>
        <a:xfrm>
          <a:off x="8953500" y="1040130"/>
          <a:ext cx="144780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High</a:t>
          </a:r>
          <a:r>
            <a:rPr lang="en-US" sz="1200" b="1" baseline="0"/>
            <a:t> Risk Patient </a:t>
          </a:r>
          <a:endParaRPr lang="en-US" sz="1200" b="1"/>
        </a:p>
      </xdr:txBody>
    </xdr:sp>
    <xdr:clientData/>
  </xdr:twoCellAnchor>
  <xdr:twoCellAnchor>
    <xdr:from>
      <xdr:col>5</xdr:col>
      <xdr:colOff>99060</xdr:colOff>
      <xdr:row>7</xdr:row>
      <xdr:rowOff>60960</xdr:rowOff>
    </xdr:from>
    <xdr:to>
      <xdr:col>6</xdr:col>
      <xdr:colOff>441960</xdr:colOff>
      <xdr:row>9</xdr:row>
      <xdr:rowOff>91440</xdr:rowOff>
    </xdr:to>
    <xdr:sp macro="" textlink="analysyis!#REF!">
      <xdr:nvSpPr>
        <xdr:cNvPr id="19" name="Rectangle 18">
          <a:extLst>
            <a:ext uri="{FF2B5EF4-FFF2-40B4-BE49-F238E27FC236}">
              <a16:creationId xmlns:a16="http://schemas.microsoft.com/office/drawing/2014/main" id="{03849A65-918F-4C69-FFD7-D93D437ED6A9}"/>
            </a:ext>
          </a:extLst>
        </xdr:cNvPr>
        <xdr:cNvSpPr/>
      </xdr:nvSpPr>
      <xdr:spPr>
        <a:xfrm>
          <a:off x="3147060" y="1341120"/>
          <a:ext cx="952500" cy="3962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FD02E9D-33D1-4D57-AFE0-B498771858DD}" type="TxLink">
            <a:rPr lang="en-US" sz="2800" b="1" i="0" u="none" strike="noStrike">
              <a:solidFill>
                <a:srgbClr val="000000"/>
              </a:solidFill>
              <a:latin typeface="Calibri"/>
              <a:ea typeface="Calibri"/>
              <a:cs typeface="Calibri"/>
            </a:rPr>
            <a:pPr algn="l"/>
            <a:t> </a:t>
          </a:fld>
          <a:endParaRPr lang="en-US" sz="2800"/>
        </a:p>
      </xdr:txBody>
    </xdr:sp>
    <xdr:clientData/>
  </xdr:twoCellAnchor>
  <xdr:twoCellAnchor>
    <xdr:from>
      <xdr:col>11</xdr:col>
      <xdr:colOff>213360</xdr:colOff>
      <xdr:row>6</xdr:row>
      <xdr:rowOff>167640</xdr:rowOff>
    </xdr:from>
    <xdr:to>
      <xdr:col>13</xdr:col>
      <xdr:colOff>137160</xdr:colOff>
      <xdr:row>9</xdr:row>
      <xdr:rowOff>15240</xdr:rowOff>
    </xdr:to>
    <xdr:sp macro="" textlink="analysyis!D4">
      <xdr:nvSpPr>
        <xdr:cNvPr id="20" name="Rectangle 19">
          <a:extLst>
            <a:ext uri="{FF2B5EF4-FFF2-40B4-BE49-F238E27FC236}">
              <a16:creationId xmlns:a16="http://schemas.microsoft.com/office/drawing/2014/main" id="{F0C928D7-378A-4EC3-B4D6-F22D5BF6546C}"/>
            </a:ext>
          </a:extLst>
        </xdr:cNvPr>
        <xdr:cNvSpPr/>
      </xdr:nvSpPr>
      <xdr:spPr>
        <a:xfrm>
          <a:off x="6918960" y="1264920"/>
          <a:ext cx="1143000" cy="3962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476C25DD-0D99-40BB-9121-0937388481F3}" type="TxLink">
            <a:rPr lang="en-US" sz="2800" b="1" i="0" u="none" strike="noStrike">
              <a:solidFill>
                <a:srgbClr val="000000"/>
              </a:solidFill>
              <a:latin typeface="Calibri"/>
              <a:ea typeface="Calibri"/>
              <a:cs typeface="Calibri"/>
            </a:rPr>
            <a:pPr marL="0" indent="0" algn="ctr"/>
            <a:t>1220982</a:t>
          </a:fld>
          <a:endParaRPr lang="en-US" sz="2800" b="1" i="0" u="none" strike="noStrike">
            <a:solidFill>
              <a:srgbClr val="000000"/>
            </a:solidFill>
            <a:latin typeface="Calibri"/>
            <a:ea typeface="Calibri"/>
            <a:cs typeface="Calibri"/>
          </a:endParaRPr>
        </a:p>
      </xdr:txBody>
    </xdr:sp>
    <xdr:clientData/>
  </xdr:twoCellAnchor>
  <xdr:twoCellAnchor>
    <xdr:from>
      <xdr:col>8</xdr:col>
      <xdr:colOff>22860</xdr:colOff>
      <xdr:row>7</xdr:row>
      <xdr:rowOff>76200</xdr:rowOff>
    </xdr:from>
    <xdr:to>
      <xdr:col>9</xdr:col>
      <xdr:colOff>556260</xdr:colOff>
      <xdr:row>9</xdr:row>
      <xdr:rowOff>106680</xdr:rowOff>
    </xdr:to>
    <xdr:sp macro="" textlink="analysyis!C4">
      <xdr:nvSpPr>
        <xdr:cNvPr id="21" name="Rectangle 20">
          <a:extLst>
            <a:ext uri="{FF2B5EF4-FFF2-40B4-BE49-F238E27FC236}">
              <a16:creationId xmlns:a16="http://schemas.microsoft.com/office/drawing/2014/main" id="{E9AD383A-F8BB-41AC-8673-553D179DBD35}"/>
            </a:ext>
          </a:extLst>
        </xdr:cNvPr>
        <xdr:cNvSpPr/>
      </xdr:nvSpPr>
      <xdr:spPr>
        <a:xfrm>
          <a:off x="4899660" y="1356360"/>
          <a:ext cx="1143000" cy="3962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5CE2A131-42CC-46B0-AB15-88AD77CBFB12}" type="TxLink">
            <a:rPr lang="en-US" sz="2800" b="1" i="0" u="none" strike="noStrike">
              <a:solidFill>
                <a:srgbClr val="000000"/>
              </a:solidFill>
              <a:latin typeface="Calibri"/>
              <a:ea typeface="Calibri"/>
              <a:cs typeface="Calibri"/>
            </a:rPr>
            <a:pPr marL="0" indent="0" algn="ctr"/>
            <a:t>59.325</a:t>
          </a:fld>
          <a:endParaRPr lang="en-US" sz="2800" b="1" i="0" u="none" strike="noStrike">
            <a:solidFill>
              <a:srgbClr val="000000"/>
            </a:solidFill>
            <a:latin typeface="Calibri"/>
            <a:ea typeface="Calibri"/>
            <a:cs typeface="Calibri"/>
          </a:endParaRPr>
        </a:p>
      </xdr:txBody>
    </xdr:sp>
    <xdr:clientData/>
  </xdr:twoCellAnchor>
  <xdr:twoCellAnchor>
    <xdr:from>
      <xdr:col>14</xdr:col>
      <xdr:colOff>518160</xdr:colOff>
      <xdr:row>7</xdr:row>
      <xdr:rowOff>15240</xdr:rowOff>
    </xdr:from>
    <xdr:to>
      <xdr:col>16</xdr:col>
      <xdr:colOff>441960</xdr:colOff>
      <xdr:row>9</xdr:row>
      <xdr:rowOff>45720</xdr:rowOff>
    </xdr:to>
    <xdr:sp macro="" textlink="analysyis!E4">
      <xdr:nvSpPr>
        <xdr:cNvPr id="22" name="Rectangle 21">
          <a:extLst>
            <a:ext uri="{FF2B5EF4-FFF2-40B4-BE49-F238E27FC236}">
              <a16:creationId xmlns:a16="http://schemas.microsoft.com/office/drawing/2014/main" id="{254E0436-7762-4814-AE4A-1E6AB36510A6}"/>
            </a:ext>
          </a:extLst>
        </xdr:cNvPr>
        <xdr:cNvSpPr/>
      </xdr:nvSpPr>
      <xdr:spPr>
        <a:xfrm>
          <a:off x="9052560" y="1295400"/>
          <a:ext cx="1143000" cy="3962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21BC0A9D-E074-43C4-8516-8B4C05AAC663}" type="TxLink">
            <a:rPr lang="en-US" sz="2800" b="1" i="0" u="none" strike="noStrike">
              <a:solidFill>
                <a:srgbClr val="000000"/>
              </a:solidFill>
              <a:latin typeface="Calibri"/>
              <a:ea typeface="Calibri"/>
              <a:cs typeface="Calibri"/>
            </a:rPr>
            <a:pPr marL="0" indent="0" algn="ctr"/>
            <a:t>68</a:t>
          </a:fld>
          <a:endParaRPr lang="en-US" sz="2800" b="1" i="0" u="none" strike="noStrike">
            <a:solidFill>
              <a:srgbClr val="000000"/>
            </a:solidFill>
            <a:latin typeface="Calibri"/>
            <a:ea typeface="Calibri"/>
            <a:cs typeface="Calibri"/>
          </a:endParaRPr>
        </a:p>
      </xdr:txBody>
    </xdr:sp>
    <xdr:clientData/>
  </xdr:twoCellAnchor>
  <xdr:twoCellAnchor>
    <xdr:from>
      <xdr:col>4</xdr:col>
      <xdr:colOff>327660</xdr:colOff>
      <xdr:row>11</xdr:row>
      <xdr:rowOff>0</xdr:rowOff>
    </xdr:from>
    <xdr:to>
      <xdr:col>10</xdr:col>
      <xdr:colOff>365760</xdr:colOff>
      <xdr:row>26</xdr:row>
      <xdr:rowOff>15240</xdr:rowOff>
    </xdr:to>
    <xdr:sp macro="" textlink="">
      <xdr:nvSpPr>
        <xdr:cNvPr id="29" name="Rectangle 28">
          <a:extLst>
            <a:ext uri="{FF2B5EF4-FFF2-40B4-BE49-F238E27FC236}">
              <a16:creationId xmlns:a16="http://schemas.microsoft.com/office/drawing/2014/main" id="{6CE4F79F-81D8-0013-CFC6-EC5F690FBC5C}"/>
            </a:ext>
          </a:extLst>
        </xdr:cNvPr>
        <xdr:cNvSpPr/>
      </xdr:nvSpPr>
      <xdr:spPr>
        <a:xfrm>
          <a:off x="2766060" y="2011680"/>
          <a:ext cx="3695700" cy="2758440"/>
        </a:xfrm>
        <a:prstGeom prst="rect">
          <a:avLst/>
        </a:prstGeom>
        <a:gradFill>
          <a:gsLst>
            <a:gs pos="0">
              <a:schemeClr val="accent6">
                <a:lumMod val="75000"/>
              </a:schemeClr>
            </a:gs>
            <a:gs pos="100000">
              <a:schemeClr val="accent6">
                <a:lumMod val="60000"/>
                <a:lumOff val="40000"/>
              </a:schemeClr>
            </a:gs>
          </a:gsLst>
          <a:lin ang="5400000" scaled="1"/>
        </a:gradFill>
        <a:ln>
          <a:solidFill>
            <a:srgbClr val="00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495300</xdr:colOff>
      <xdr:row>13</xdr:row>
      <xdr:rowOff>38100</xdr:rowOff>
    </xdr:from>
    <xdr:to>
      <xdr:col>10</xdr:col>
      <xdr:colOff>243840</xdr:colOff>
      <xdr:row>25</xdr:row>
      <xdr:rowOff>152400</xdr:rowOff>
    </xdr:to>
    <xdr:graphicFrame macro="">
      <xdr:nvGraphicFramePr>
        <xdr:cNvPr id="15" name="Chart 14">
          <a:extLst>
            <a:ext uri="{FF2B5EF4-FFF2-40B4-BE49-F238E27FC236}">
              <a16:creationId xmlns:a16="http://schemas.microsoft.com/office/drawing/2014/main" id="{73D4FA7D-A7A3-4935-AB07-526D86DAB7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304800</xdr:colOff>
      <xdr:row>11</xdr:row>
      <xdr:rowOff>69850</xdr:rowOff>
    </xdr:from>
    <xdr:to>
      <xdr:col>9</xdr:col>
      <xdr:colOff>160020</xdr:colOff>
      <xdr:row>13</xdr:row>
      <xdr:rowOff>153670</xdr:rowOff>
    </xdr:to>
    <xdr:sp macro="" textlink="">
      <xdr:nvSpPr>
        <xdr:cNvPr id="16" name="TextBox 15">
          <a:extLst>
            <a:ext uri="{FF2B5EF4-FFF2-40B4-BE49-F238E27FC236}">
              <a16:creationId xmlns:a16="http://schemas.microsoft.com/office/drawing/2014/main" id="{4B6F6515-29E0-487E-9D30-7CE3D3CA2015}"/>
            </a:ext>
          </a:extLst>
        </xdr:cNvPr>
        <xdr:cNvSpPr txBox="1"/>
      </xdr:nvSpPr>
      <xdr:spPr>
        <a:xfrm>
          <a:off x="3352800" y="2081530"/>
          <a:ext cx="229362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Diagnosis  And Cost Distribution</a:t>
          </a:r>
        </a:p>
      </xdr:txBody>
    </xdr:sp>
    <xdr:clientData/>
  </xdr:twoCellAnchor>
  <xdr:twoCellAnchor>
    <xdr:from>
      <xdr:col>17</xdr:col>
      <xdr:colOff>190500</xdr:colOff>
      <xdr:row>17</xdr:row>
      <xdr:rowOff>38100</xdr:rowOff>
    </xdr:from>
    <xdr:to>
      <xdr:col>21</xdr:col>
      <xdr:colOff>53340</xdr:colOff>
      <xdr:row>25</xdr:row>
      <xdr:rowOff>167640</xdr:rowOff>
    </xdr:to>
    <xdr:sp macro="" textlink="">
      <xdr:nvSpPr>
        <xdr:cNvPr id="37" name="Rectangle 36">
          <a:extLst>
            <a:ext uri="{FF2B5EF4-FFF2-40B4-BE49-F238E27FC236}">
              <a16:creationId xmlns:a16="http://schemas.microsoft.com/office/drawing/2014/main" id="{BBD38062-0EBD-4C4A-9822-DB1B058B4887}"/>
            </a:ext>
          </a:extLst>
        </xdr:cNvPr>
        <xdr:cNvSpPr/>
      </xdr:nvSpPr>
      <xdr:spPr>
        <a:xfrm>
          <a:off x="10553700" y="3147060"/>
          <a:ext cx="2301240" cy="1592580"/>
        </a:xfrm>
        <a:prstGeom prst="rect">
          <a:avLst/>
        </a:prstGeom>
        <a:gradFill>
          <a:gsLst>
            <a:gs pos="0">
              <a:schemeClr val="accent6">
                <a:lumMod val="75000"/>
              </a:schemeClr>
            </a:gs>
            <a:gs pos="100000">
              <a:schemeClr val="accent6">
                <a:lumMod val="60000"/>
                <a:lumOff val="40000"/>
              </a:schemeClr>
            </a:gs>
          </a:gsLst>
          <a:lin ang="5400000" scaled="1"/>
        </a:gradFill>
        <a:ln>
          <a:solidFill>
            <a:srgbClr val="00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396240</xdr:colOff>
      <xdr:row>19</xdr:row>
      <xdr:rowOff>15240</xdr:rowOff>
    </xdr:from>
    <xdr:to>
      <xdr:col>20</xdr:col>
      <xdr:colOff>464820</xdr:colOff>
      <xdr:row>26</xdr:row>
      <xdr:rowOff>137160</xdr:rowOff>
    </xdr:to>
    <xdr:graphicFrame macro="">
      <xdr:nvGraphicFramePr>
        <xdr:cNvPr id="26" name="Chart 25">
          <a:extLst>
            <a:ext uri="{FF2B5EF4-FFF2-40B4-BE49-F238E27FC236}">
              <a16:creationId xmlns:a16="http://schemas.microsoft.com/office/drawing/2014/main" id="{885DFDE0-65B6-4077-9170-25EAA663AE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30480</xdr:colOff>
      <xdr:row>17</xdr:row>
      <xdr:rowOff>114300</xdr:rowOff>
    </xdr:from>
    <xdr:to>
      <xdr:col>20</xdr:col>
      <xdr:colOff>266700</xdr:colOff>
      <xdr:row>20</xdr:row>
      <xdr:rowOff>7620</xdr:rowOff>
    </xdr:to>
    <xdr:sp macro="" textlink="">
      <xdr:nvSpPr>
        <xdr:cNvPr id="28" name="TextBox 27">
          <a:extLst>
            <a:ext uri="{FF2B5EF4-FFF2-40B4-BE49-F238E27FC236}">
              <a16:creationId xmlns:a16="http://schemas.microsoft.com/office/drawing/2014/main" id="{D6310E51-2892-443C-8187-711C6E7C0FEB}"/>
            </a:ext>
          </a:extLst>
        </xdr:cNvPr>
        <xdr:cNvSpPr txBox="1"/>
      </xdr:nvSpPr>
      <xdr:spPr>
        <a:xfrm>
          <a:off x="11003280" y="3223260"/>
          <a:ext cx="145542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Gender</a:t>
          </a:r>
          <a:r>
            <a:rPr lang="en-US" sz="1200" b="1" baseline="0"/>
            <a:t> distribution </a:t>
          </a:r>
          <a:endParaRPr lang="en-US" sz="1200" b="1"/>
        </a:p>
      </xdr:txBody>
    </xdr:sp>
    <xdr:clientData/>
  </xdr:twoCellAnchor>
  <xdr:twoCellAnchor>
    <xdr:from>
      <xdr:col>10</xdr:col>
      <xdr:colOff>525780</xdr:colOff>
      <xdr:row>11</xdr:row>
      <xdr:rowOff>0</xdr:rowOff>
    </xdr:from>
    <xdr:to>
      <xdr:col>16</xdr:col>
      <xdr:colOff>563880</xdr:colOff>
      <xdr:row>26</xdr:row>
      <xdr:rowOff>15240</xdr:rowOff>
    </xdr:to>
    <xdr:sp macro="" textlink="">
      <xdr:nvSpPr>
        <xdr:cNvPr id="36" name="Rectangle 35">
          <a:extLst>
            <a:ext uri="{FF2B5EF4-FFF2-40B4-BE49-F238E27FC236}">
              <a16:creationId xmlns:a16="http://schemas.microsoft.com/office/drawing/2014/main" id="{74654EA8-DE8E-458C-9163-DC467AD2D4AE}"/>
            </a:ext>
          </a:extLst>
        </xdr:cNvPr>
        <xdr:cNvSpPr/>
      </xdr:nvSpPr>
      <xdr:spPr>
        <a:xfrm>
          <a:off x="6621780" y="2011680"/>
          <a:ext cx="3695700" cy="2758440"/>
        </a:xfrm>
        <a:prstGeom prst="rect">
          <a:avLst/>
        </a:prstGeom>
        <a:gradFill>
          <a:gsLst>
            <a:gs pos="0">
              <a:schemeClr val="accent6">
                <a:lumMod val="75000"/>
              </a:schemeClr>
            </a:gs>
            <a:gs pos="100000">
              <a:schemeClr val="accent6">
                <a:lumMod val="60000"/>
                <a:lumOff val="40000"/>
              </a:schemeClr>
            </a:gs>
          </a:gsLst>
          <a:lin ang="5400000" scaled="1"/>
        </a:gradFill>
        <a:ln>
          <a:solidFill>
            <a:srgbClr val="00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60960</xdr:colOff>
      <xdr:row>13</xdr:row>
      <xdr:rowOff>60960</xdr:rowOff>
    </xdr:from>
    <xdr:to>
      <xdr:col>16</xdr:col>
      <xdr:colOff>259080</xdr:colOff>
      <xdr:row>25</xdr:row>
      <xdr:rowOff>175260</xdr:rowOff>
    </xdr:to>
    <xdr:graphicFrame macro="">
      <xdr:nvGraphicFramePr>
        <xdr:cNvPr id="34" name="Chart 33">
          <a:extLst>
            <a:ext uri="{FF2B5EF4-FFF2-40B4-BE49-F238E27FC236}">
              <a16:creationId xmlns:a16="http://schemas.microsoft.com/office/drawing/2014/main" id="{21045D8A-5245-4B28-949D-BF3A2C60D0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167640</xdr:colOff>
      <xdr:row>1</xdr:row>
      <xdr:rowOff>0</xdr:rowOff>
    </xdr:from>
    <xdr:to>
      <xdr:col>21</xdr:col>
      <xdr:colOff>30480</xdr:colOff>
      <xdr:row>16</xdr:row>
      <xdr:rowOff>152400</xdr:rowOff>
    </xdr:to>
    <xdr:sp macro="" textlink="">
      <xdr:nvSpPr>
        <xdr:cNvPr id="38" name="Rectangle 37">
          <a:extLst>
            <a:ext uri="{FF2B5EF4-FFF2-40B4-BE49-F238E27FC236}">
              <a16:creationId xmlns:a16="http://schemas.microsoft.com/office/drawing/2014/main" id="{A9092054-2202-4AEE-A95E-F5097B1DA414}"/>
            </a:ext>
          </a:extLst>
        </xdr:cNvPr>
        <xdr:cNvSpPr/>
      </xdr:nvSpPr>
      <xdr:spPr>
        <a:xfrm>
          <a:off x="10530840" y="182880"/>
          <a:ext cx="2301240" cy="2895600"/>
        </a:xfrm>
        <a:prstGeom prst="rect">
          <a:avLst/>
        </a:prstGeom>
        <a:gradFill>
          <a:gsLst>
            <a:gs pos="0">
              <a:schemeClr val="accent6">
                <a:lumMod val="75000"/>
              </a:schemeClr>
            </a:gs>
            <a:gs pos="100000">
              <a:schemeClr val="accent6">
                <a:lumMod val="60000"/>
                <a:lumOff val="40000"/>
              </a:schemeClr>
            </a:gs>
          </a:gsLst>
          <a:lin ang="5400000" scaled="1"/>
        </a:gradFill>
        <a:ln>
          <a:solidFill>
            <a:srgbClr val="00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17</xdr:col>
      <xdr:colOff>350520</xdr:colOff>
      <xdr:row>3</xdr:row>
      <xdr:rowOff>7620</xdr:rowOff>
    </xdr:from>
    <xdr:to>
      <xdr:col>20</xdr:col>
      <xdr:colOff>350520</xdr:colOff>
      <xdr:row>6</xdr:row>
      <xdr:rowOff>99060</xdr:rowOff>
    </xdr:to>
    <mc:AlternateContent xmlns:mc="http://schemas.openxmlformats.org/markup-compatibility/2006">
      <mc:Choice xmlns:a14="http://schemas.microsoft.com/office/drawing/2010/main" Requires="a14">
        <xdr:graphicFrame macro="">
          <xdr:nvGraphicFramePr>
            <xdr:cNvPr id="25" name="Name 2">
              <a:extLst>
                <a:ext uri="{FF2B5EF4-FFF2-40B4-BE49-F238E27FC236}">
                  <a16:creationId xmlns:a16="http://schemas.microsoft.com/office/drawing/2014/main" id="{E6C1BACF-152D-4D72-878A-8FD4C99AF89C}"/>
                </a:ext>
              </a:extLst>
            </xdr:cNvPr>
            <xdr:cNvGraphicFramePr/>
          </xdr:nvGraphicFramePr>
          <xdr:xfrm>
            <a:off x="0" y="0"/>
            <a:ext cx="0" cy="0"/>
          </xdr:xfrm>
          <a:graphic>
            <a:graphicData uri="http://schemas.microsoft.com/office/drawing/2010/slicer">
              <sle:slicer xmlns:sle="http://schemas.microsoft.com/office/drawing/2010/slicer" name="Name 2"/>
            </a:graphicData>
          </a:graphic>
        </xdr:graphicFrame>
      </mc:Choice>
      <mc:Fallback>
        <xdr:sp macro="" textlink="">
          <xdr:nvSpPr>
            <xdr:cNvPr id="0" name=""/>
            <xdr:cNvSpPr>
              <a:spLocks noTextEdit="1"/>
            </xdr:cNvSpPr>
          </xdr:nvSpPr>
          <xdr:spPr>
            <a:xfrm>
              <a:off x="10713720" y="556260"/>
              <a:ext cx="1828800"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350520</xdr:colOff>
      <xdr:row>6</xdr:row>
      <xdr:rowOff>83820</xdr:rowOff>
    </xdr:from>
    <xdr:to>
      <xdr:col>20</xdr:col>
      <xdr:colOff>350520</xdr:colOff>
      <xdr:row>9</xdr:row>
      <xdr:rowOff>175260</xdr:rowOff>
    </xdr:to>
    <mc:AlternateContent xmlns:mc="http://schemas.openxmlformats.org/markup-compatibility/2006">
      <mc:Choice xmlns:a14="http://schemas.microsoft.com/office/drawing/2010/main" Requires="a14">
        <xdr:graphicFrame macro="">
          <xdr:nvGraphicFramePr>
            <xdr:cNvPr id="44" name="PatientID 1">
              <a:extLst>
                <a:ext uri="{FF2B5EF4-FFF2-40B4-BE49-F238E27FC236}">
                  <a16:creationId xmlns:a16="http://schemas.microsoft.com/office/drawing/2014/main" id="{FBB04959-F09D-44E1-A97E-AF1058667945}"/>
                </a:ext>
              </a:extLst>
            </xdr:cNvPr>
            <xdr:cNvGraphicFramePr/>
          </xdr:nvGraphicFramePr>
          <xdr:xfrm>
            <a:off x="0" y="0"/>
            <a:ext cx="0" cy="0"/>
          </xdr:xfrm>
          <a:graphic>
            <a:graphicData uri="http://schemas.microsoft.com/office/drawing/2010/slicer">
              <sle:slicer xmlns:sle="http://schemas.microsoft.com/office/drawing/2010/slicer" name="PatientID 1"/>
            </a:graphicData>
          </a:graphic>
        </xdr:graphicFrame>
      </mc:Choice>
      <mc:Fallback>
        <xdr:sp macro="" textlink="">
          <xdr:nvSpPr>
            <xdr:cNvPr id="0" name=""/>
            <xdr:cNvSpPr>
              <a:spLocks noTextEdit="1"/>
            </xdr:cNvSpPr>
          </xdr:nvSpPr>
          <xdr:spPr>
            <a:xfrm>
              <a:off x="10713720" y="1181100"/>
              <a:ext cx="1828800"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358140</xdr:colOff>
      <xdr:row>11</xdr:row>
      <xdr:rowOff>54610</xdr:rowOff>
    </xdr:from>
    <xdr:to>
      <xdr:col>15</xdr:col>
      <xdr:colOff>213360</xdr:colOff>
      <xdr:row>13</xdr:row>
      <xdr:rowOff>138430</xdr:rowOff>
    </xdr:to>
    <xdr:sp macro="" textlink="">
      <xdr:nvSpPr>
        <xdr:cNvPr id="45" name="TextBox 44">
          <a:extLst>
            <a:ext uri="{FF2B5EF4-FFF2-40B4-BE49-F238E27FC236}">
              <a16:creationId xmlns:a16="http://schemas.microsoft.com/office/drawing/2014/main" id="{687C5648-E479-4031-B50C-18E2F88A1FF5}"/>
            </a:ext>
          </a:extLst>
        </xdr:cNvPr>
        <xdr:cNvSpPr txBox="1"/>
      </xdr:nvSpPr>
      <xdr:spPr>
        <a:xfrm>
          <a:off x="7063740" y="2066290"/>
          <a:ext cx="229362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Outcome</a:t>
          </a:r>
          <a:r>
            <a:rPr lang="en-US" sz="1200" b="1" baseline="0"/>
            <a:t> </a:t>
          </a:r>
          <a:r>
            <a:rPr lang="en-US" sz="1200" b="1"/>
            <a:t>Distribution</a:t>
          </a:r>
        </a:p>
      </xdr:txBody>
    </xdr:sp>
    <xdr:clientData/>
  </xdr:twoCellAnchor>
  <xdr:twoCellAnchor>
    <xdr:from>
      <xdr:col>17</xdr:col>
      <xdr:colOff>175260</xdr:colOff>
      <xdr:row>1</xdr:row>
      <xdr:rowOff>91440</xdr:rowOff>
    </xdr:from>
    <xdr:to>
      <xdr:col>21</xdr:col>
      <xdr:colOff>556260</xdr:colOff>
      <xdr:row>3</xdr:row>
      <xdr:rowOff>167640</xdr:rowOff>
    </xdr:to>
    <xdr:sp macro="" textlink="">
      <xdr:nvSpPr>
        <xdr:cNvPr id="46" name="TextBox 45">
          <a:extLst>
            <a:ext uri="{FF2B5EF4-FFF2-40B4-BE49-F238E27FC236}">
              <a16:creationId xmlns:a16="http://schemas.microsoft.com/office/drawing/2014/main" id="{D7799543-1B9A-4C89-9D73-C46B2DC0A439}"/>
            </a:ext>
          </a:extLst>
        </xdr:cNvPr>
        <xdr:cNvSpPr txBox="1"/>
      </xdr:nvSpPr>
      <xdr:spPr>
        <a:xfrm>
          <a:off x="10538460" y="274320"/>
          <a:ext cx="281940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t>Search Bar For Patient Information</a:t>
          </a:r>
        </a:p>
        <a:p>
          <a:endParaRPr lang="en-US" sz="1200" b="1" baseline="0"/>
        </a:p>
        <a:p>
          <a:r>
            <a:rPr lang="en-US" sz="1200" b="1" baseline="0"/>
            <a:t> </a:t>
          </a:r>
          <a:endParaRPr lang="en-US" sz="1200" b="1"/>
        </a:p>
      </xdr:txBody>
    </xdr:sp>
    <xdr:clientData/>
  </xdr:twoCellAnchor>
  <xdr:twoCellAnchor editAs="oneCell">
    <xdr:from>
      <xdr:col>17</xdr:col>
      <xdr:colOff>373380</xdr:colOff>
      <xdr:row>13</xdr:row>
      <xdr:rowOff>83820</xdr:rowOff>
    </xdr:from>
    <xdr:to>
      <xdr:col>20</xdr:col>
      <xdr:colOff>373380</xdr:colOff>
      <xdr:row>16</xdr:row>
      <xdr:rowOff>106680</xdr:rowOff>
    </xdr:to>
    <mc:AlternateContent xmlns:mc="http://schemas.openxmlformats.org/markup-compatibility/2006">
      <mc:Choice xmlns:a14="http://schemas.microsoft.com/office/drawing/2010/main" Requires="a14">
        <xdr:graphicFrame macro="">
          <xdr:nvGraphicFramePr>
            <xdr:cNvPr id="48" name="result 1">
              <a:extLst>
                <a:ext uri="{FF2B5EF4-FFF2-40B4-BE49-F238E27FC236}">
                  <a16:creationId xmlns:a16="http://schemas.microsoft.com/office/drawing/2014/main" id="{D4C835EE-3D1E-4A04-B91D-DF61C07C7F53}"/>
                </a:ext>
              </a:extLst>
            </xdr:cNvPr>
            <xdr:cNvGraphicFramePr/>
          </xdr:nvGraphicFramePr>
          <xdr:xfrm>
            <a:off x="0" y="0"/>
            <a:ext cx="0" cy="0"/>
          </xdr:xfrm>
          <a:graphic>
            <a:graphicData uri="http://schemas.microsoft.com/office/drawing/2010/slicer">
              <sle:slicer xmlns:sle="http://schemas.microsoft.com/office/drawing/2010/slicer" name="result 1"/>
            </a:graphicData>
          </a:graphic>
        </xdr:graphicFrame>
      </mc:Choice>
      <mc:Fallback>
        <xdr:sp macro="" textlink="">
          <xdr:nvSpPr>
            <xdr:cNvPr id="0" name=""/>
            <xdr:cNvSpPr>
              <a:spLocks noTextEdit="1"/>
            </xdr:cNvSpPr>
          </xdr:nvSpPr>
          <xdr:spPr>
            <a:xfrm>
              <a:off x="10736580" y="2461260"/>
              <a:ext cx="1828800" cy="571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373380</xdr:colOff>
      <xdr:row>10</xdr:row>
      <xdr:rowOff>7620</xdr:rowOff>
    </xdr:from>
    <xdr:to>
      <xdr:col>20</xdr:col>
      <xdr:colOff>373380</xdr:colOff>
      <xdr:row>13</xdr:row>
      <xdr:rowOff>114299</xdr:rowOff>
    </xdr:to>
    <mc:AlternateContent xmlns:mc="http://schemas.openxmlformats.org/markup-compatibility/2006">
      <mc:Choice xmlns:a14="http://schemas.microsoft.com/office/drawing/2010/main" Requires="a14">
        <xdr:graphicFrame macro="">
          <xdr:nvGraphicFramePr>
            <xdr:cNvPr id="50" name="test perform 1">
              <a:extLst>
                <a:ext uri="{FF2B5EF4-FFF2-40B4-BE49-F238E27FC236}">
                  <a16:creationId xmlns:a16="http://schemas.microsoft.com/office/drawing/2014/main" id="{448BB869-A00A-4DA3-8451-BE831B465314}"/>
                </a:ext>
              </a:extLst>
            </xdr:cNvPr>
            <xdr:cNvGraphicFramePr/>
          </xdr:nvGraphicFramePr>
          <xdr:xfrm>
            <a:off x="0" y="0"/>
            <a:ext cx="0" cy="0"/>
          </xdr:xfrm>
          <a:graphic>
            <a:graphicData uri="http://schemas.microsoft.com/office/drawing/2010/slicer">
              <sle:slicer xmlns:sle="http://schemas.microsoft.com/office/drawing/2010/slicer" name="test perform 1"/>
            </a:graphicData>
          </a:graphic>
        </xdr:graphicFrame>
      </mc:Choice>
      <mc:Fallback>
        <xdr:sp macro="" textlink="">
          <xdr:nvSpPr>
            <xdr:cNvPr id="0" name=""/>
            <xdr:cNvSpPr>
              <a:spLocks noTextEdit="1"/>
            </xdr:cNvSpPr>
          </xdr:nvSpPr>
          <xdr:spPr>
            <a:xfrm>
              <a:off x="10736580" y="1836420"/>
              <a:ext cx="1828800" cy="6553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464820</xdr:colOff>
      <xdr:row>7</xdr:row>
      <xdr:rowOff>60960</xdr:rowOff>
    </xdr:from>
    <xdr:to>
      <xdr:col>6</xdr:col>
      <xdr:colOff>388620</xdr:colOff>
      <xdr:row>9</xdr:row>
      <xdr:rowOff>91440</xdr:rowOff>
    </xdr:to>
    <xdr:sp macro="" textlink="analysyis!$B$4">
      <xdr:nvSpPr>
        <xdr:cNvPr id="51" name="Rectangle 50">
          <a:extLst>
            <a:ext uri="{FF2B5EF4-FFF2-40B4-BE49-F238E27FC236}">
              <a16:creationId xmlns:a16="http://schemas.microsoft.com/office/drawing/2014/main" id="{9A4B368C-CECF-4F15-9A0C-A29B7F75CFB4}"/>
            </a:ext>
          </a:extLst>
        </xdr:cNvPr>
        <xdr:cNvSpPr/>
      </xdr:nvSpPr>
      <xdr:spPr>
        <a:xfrm>
          <a:off x="2903220" y="1341120"/>
          <a:ext cx="1143000" cy="3962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7F86C98C-AC5E-43D6-B64C-7C94C02B2DE2}" type="TxLink">
            <a:rPr lang="en-US" sz="2800" b="1" i="0" u="none" strike="noStrike">
              <a:solidFill>
                <a:srgbClr val="000000"/>
              </a:solidFill>
              <a:latin typeface="Calibri"/>
              <a:ea typeface="Calibri"/>
              <a:cs typeface="Calibri"/>
            </a:rPr>
            <a:pPr marL="0" indent="0" algn="ctr"/>
            <a:t>200</a:t>
          </a:fld>
          <a:endParaRPr lang="en-US" sz="2800" b="1" i="0" u="none" strike="noStrike">
            <a:solidFill>
              <a:srgbClr val="000000"/>
            </a:solidFill>
            <a:latin typeface="Calibri"/>
            <a:ea typeface="Calibri"/>
            <a:cs typeface="Calibri"/>
          </a:endParaRPr>
        </a:p>
      </xdr:txBody>
    </xdr:sp>
    <xdr:clientData/>
  </xdr:twoCellAnchor>
  <xdr:twoCellAnchor>
    <xdr:from>
      <xdr:col>6</xdr:col>
      <xdr:colOff>144780</xdr:colOff>
      <xdr:row>1</xdr:row>
      <xdr:rowOff>114300</xdr:rowOff>
    </xdr:from>
    <xdr:to>
      <xdr:col>16</xdr:col>
      <xdr:colOff>289560</xdr:colOff>
      <xdr:row>4</xdr:row>
      <xdr:rowOff>91440</xdr:rowOff>
    </xdr:to>
    <xdr:sp macro="" textlink="">
      <xdr:nvSpPr>
        <xdr:cNvPr id="52" name="Rectangle: Rounded Corners 51">
          <a:extLst>
            <a:ext uri="{FF2B5EF4-FFF2-40B4-BE49-F238E27FC236}">
              <a16:creationId xmlns:a16="http://schemas.microsoft.com/office/drawing/2014/main" id="{5794ECCD-8693-6C11-D648-E3471D6A0BC7}"/>
            </a:ext>
          </a:extLst>
        </xdr:cNvPr>
        <xdr:cNvSpPr/>
      </xdr:nvSpPr>
      <xdr:spPr>
        <a:xfrm>
          <a:off x="3802380" y="297180"/>
          <a:ext cx="6240780" cy="525780"/>
        </a:xfrm>
        <a:prstGeom prst="roundRect">
          <a:avLst/>
        </a:prstGeom>
        <a:solidFill>
          <a:srgbClr val="0033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a:solidFill>
                <a:srgbClr val="FFFF00"/>
              </a:solidFill>
            </a:rPr>
            <a:t>Health</a:t>
          </a:r>
          <a:r>
            <a:rPr lang="en-US" sz="2400" baseline="0">
              <a:solidFill>
                <a:srgbClr val="FFFF00"/>
              </a:solidFill>
            </a:rPr>
            <a:t> outcome  analysis  &amp; risk Stratification </a:t>
          </a:r>
          <a:endParaRPr lang="en-US" sz="2400">
            <a:solidFill>
              <a:srgbClr val="FFFF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64.767377662036" createdVersion="8" refreshedVersion="8" minRefreshableVersion="3" recordCount="200" xr:uid="{E4A34B4A-C56B-4BD1-9F38-6E307A6688BC}">
  <cacheSource type="worksheet">
    <worksheetSource name="patients"/>
  </cacheSource>
  <cacheFields count="15">
    <cacheField name="PatientID" numFmtId="0">
      <sharedItems containsSemiMixedTypes="0" containsString="0" containsNumber="1" containsInteger="1" minValue="1" maxValue="200" count="2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sharedItems>
    </cacheField>
    <cacheField name="Name" numFmtId="0">
      <sharedItems count="200">
        <s v="Edward Montes"/>
        <s v="Jessica Zimmerman"/>
        <s v="Gina Alexander"/>
        <s v="Lori Green"/>
        <s v="Jack Logan"/>
        <s v="Melinda Robinson"/>
        <s v="Sherry Robinson"/>
        <s v="James Watts"/>
        <s v="Jeanne Butler"/>
        <s v="Benjamin Rogers"/>
        <s v="Carol Sanchez"/>
        <s v="Stacy Clark"/>
        <s v="Kimberly Chase"/>
        <s v="Cody Ryan"/>
        <s v="Kimberly Alexander"/>
        <s v="Olivia Roy"/>
        <s v="Sabrina Medina"/>
        <s v="Jennifer Wright"/>
        <s v="Christian Lynch"/>
        <s v="Jorge Castillo"/>
        <s v="Nicholas Wilcox"/>
        <s v="Toni Gomez"/>
        <s v="Emily King"/>
        <s v="Jordan Harris"/>
        <s v="Adriana Rogers"/>
        <s v="Samuel Thompson"/>
        <s v="Brenda Huber"/>
        <s v="Brett Washington"/>
        <s v="Katherine Gonzales"/>
        <s v="Jacqueline Bauer"/>
        <s v="Brittany Walker"/>
        <s v="Tommy Atkinson"/>
        <s v="Miss Kathryn Mitchell"/>
        <s v="Steven Morales"/>
        <s v="Anthony Frederick"/>
        <s v="Beverly Dillon"/>
        <s v="Monica Walker"/>
        <s v="Russell Small"/>
        <s v="Matthew Rios"/>
        <s v="Nicole Vargas"/>
        <s v="Richard Hill"/>
        <s v="Bonnie Herman"/>
        <s v="Nicholas Wright"/>
        <s v="Kelsey Sanchez"/>
        <s v="Deborah Little"/>
        <s v="Mrs. Carol Andrade"/>
        <s v="Carlos Gutierrez"/>
        <s v="Casey Schneider"/>
        <s v="Lisa Frazier"/>
        <s v="Katie Lawson"/>
        <s v="Mary Johnson"/>
        <s v="Michael Maxwell"/>
        <s v="Patrick Mccormick"/>
        <s v="Bruce Jones"/>
        <s v="Austin Huffman"/>
        <s v="Heather Peterson"/>
        <s v="Justin Keller"/>
        <s v="Robert Aguirre"/>
        <s v="Christopher Hoffman"/>
        <s v="Tamara Pacheco"/>
        <s v="Jared Hughes"/>
        <s v="Samantha Peck"/>
        <s v="Jared Jacobs"/>
        <s v="Rachel Johnson"/>
        <s v="Lauren Skinner"/>
        <s v="Tina Rodriguez PhD"/>
        <s v="Shirley Spencer"/>
        <s v="Daniel Livingston"/>
        <s v="Stephen Wright"/>
        <s v="James Leblanc"/>
        <s v="John Dawson"/>
        <s v="Sharon Miller"/>
        <s v="Rhonda Nichols"/>
        <s v="William Mclaughlin"/>
        <s v="Melissa Edwards"/>
        <s v="Joshua Shaw"/>
        <s v="Yolanda Tucker"/>
        <s v="Sarah Anderson"/>
        <s v="Meagan Larson"/>
        <s v="Kelly Huffman"/>
        <s v="Sarah Rivas"/>
        <s v="Erica Mills"/>
        <s v="Theodore Oliver"/>
        <s v="Linda Mitchell"/>
        <s v="Jason Harrington"/>
        <s v="Kim Salas DDS"/>
        <s v="Patrick Cantu"/>
        <s v="Brenda Evans"/>
        <s v="Christopher Burch"/>
        <s v="Stephanie Beard"/>
        <s v="James Boyer"/>
        <s v="Julie Rhodes"/>
        <s v="Jennifer Howard"/>
        <s v="Anthony Rodriguez"/>
        <s v="Alexander Rodgers"/>
        <s v="Joshua Riley"/>
        <s v="Dennis Lynch"/>
        <s v="Amanda Rivera"/>
        <s v="Mark Miller"/>
        <s v="Cindy Rivas"/>
        <s v="Kenneth Holden"/>
        <s v="Veronica Beard"/>
        <s v="Jordan Perry"/>
        <s v="Jaime Jacobs"/>
        <s v="Brenda Hines"/>
        <s v="Nancy Weber"/>
        <s v="Angela Schneider"/>
        <s v="Richard Osborne"/>
        <s v="Autumn Garrett"/>
        <s v="Patrick Webb"/>
        <s v="Mrs. Amanda Bright MD"/>
        <s v="Anthony Marshall"/>
        <s v="Kevin Vaughn"/>
        <s v="Dawn Hicks"/>
        <s v="Jeffrey Norris"/>
        <s v="Antonio Ruiz"/>
        <s v="Sarah Mason"/>
        <s v="Nicholas Lee"/>
        <s v="Dr. Edward Hebert"/>
        <s v="Sara Huffman"/>
        <s v="Ashley Rodriguez"/>
        <s v="Jennifer Ramirez"/>
        <s v="Amanda Richardson"/>
        <s v="Jake Bryan"/>
        <s v="James Barron"/>
        <s v="Carmen Rosales"/>
        <s v="Joseph Medina"/>
        <s v="Nancy Mcmahon"/>
        <s v="Lindsey Vargas"/>
        <s v="Rhonda Nguyen"/>
        <s v="Charles Martin"/>
        <s v="Christina Curtis"/>
        <s v="Mary Jones"/>
        <s v="Christopher Miller"/>
        <s v="Brian Brown"/>
        <s v="Amanda Mason"/>
        <s v="Jordan Rodgers"/>
        <s v="Jessica Watson"/>
        <s v="Edward Thornton"/>
        <s v="Randy Gutierrez"/>
        <s v="Victoria Cole"/>
        <s v="Tracy Chavez"/>
        <s v="Kimberly Gregory"/>
        <s v="William Webb"/>
        <s v="Donna Peterson"/>
        <s v="Jessica Long"/>
        <s v="Jamie Williams"/>
        <s v="Guy Shepard"/>
        <s v="Karen Mcbride"/>
        <s v="Jeffery House"/>
        <s v="Natalie Skinner"/>
        <s v="Devin James"/>
        <s v="Tami Warner"/>
        <s v="Mrs. Carol Chambers"/>
        <s v="Traci Reyes"/>
        <s v="Rhonda Robertson"/>
        <s v="Tracy Wood"/>
        <s v="Shannon Stewart"/>
        <s v="Juan Malone"/>
        <s v="Kristin Chapman"/>
        <s v="Ann Adams"/>
        <s v="Jesus Coleman"/>
        <s v="Shawn Burke"/>
        <s v="Ruth Strong"/>
        <s v="Michael Warren"/>
        <s v="Raymond Chavez"/>
        <s v="Scott Peterson"/>
        <s v="Frank Reid"/>
        <s v="Shawna Webb"/>
        <s v="Gregory Murphy"/>
        <s v="Timothy Greene"/>
        <s v="Kimberly Brady"/>
        <s v="Mary Fowler"/>
        <s v="Alexander Bradshaw"/>
        <s v="Jonathan Baird"/>
        <s v="Rebecca Baker"/>
        <s v="Jennifer Sanchez"/>
        <s v="Rebecca Castaneda"/>
        <s v="Darren Scott"/>
        <s v="Nicole Hall"/>
        <s v="Gary Wade"/>
        <s v="Kristen Wood"/>
        <s v="Sean Valenzuela"/>
        <s v="James Smith"/>
        <s v="Marcus Adams"/>
        <s v="Melissa Torres"/>
        <s v="Robert Wade"/>
        <s v="Benjamin White"/>
        <s v="James Jacobs"/>
        <s v="Kristin Underwood"/>
        <s v="David Moore"/>
        <s v="Francisco Lester"/>
        <s v="Nicholas Jennings"/>
        <s v="Andrew Hawkins"/>
        <s v="Jonathan Potter"/>
        <s v="Shelly Dominguez"/>
        <s v="Destiny Johnson"/>
        <s v="Catherine Case"/>
        <s v="Dennis Wolfe"/>
        <s v="Gregory Bates"/>
      </sharedItems>
    </cacheField>
    <cacheField name="Age" numFmtId="0">
      <sharedItems containsSemiMixedTypes="0" containsString="0" containsNumber="1" containsInteger="1" minValue="30" maxValue="89" count="58">
        <n v="68"/>
        <n v="81"/>
        <n v="58"/>
        <n v="44"/>
        <n v="72"/>
        <n v="37"/>
        <n v="50"/>
        <n v="87"/>
        <n v="48"/>
        <n v="52"/>
        <n v="40"/>
        <n v="53"/>
        <n v="82"/>
        <n v="65"/>
        <n v="69"/>
        <n v="32"/>
        <n v="51"/>
        <n v="31"/>
        <n v="73"/>
        <n v="59"/>
        <n v="67"/>
        <n v="89"/>
        <n v="62"/>
        <n v="41"/>
        <n v="54"/>
        <n v="78"/>
        <n v="56"/>
        <n v="88"/>
        <n v="71"/>
        <n v="57"/>
        <n v="45"/>
        <n v="76"/>
        <n v="80"/>
        <n v="84"/>
        <n v="86"/>
        <n v="66"/>
        <n v="36"/>
        <n v="38"/>
        <n v="47"/>
        <n v="33"/>
        <n v="43"/>
        <n v="79"/>
        <n v="55"/>
        <n v="49"/>
        <n v="64"/>
        <n v="46"/>
        <n v="35"/>
        <n v="83"/>
        <n v="63"/>
        <n v="39"/>
        <n v="60"/>
        <n v="77"/>
        <n v="74"/>
        <n v="70"/>
        <n v="30"/>
        <n v="34"/>
        <n v="42"/>
        <n v="61"/>
      </sharedItems>
    </cacheField>
    <cacheField name="Gender" numFmtId="0">
      <sharedItems count="2">
        <s v="M"/>
        <s v="F"/>
      </sharedItems>
    </cacheField>
    <cacheField name="DiagnosisID" numFmtId="0">
      <sharedItems containsSemiMixedTypes="0" containsString="0" containsNumber="1" containsInteger="1" minValue="1" maxValue="10"/>
    </cacheField>
    <cacheField name="Diagnoses name" numFmtId="0">
      <sharedItems count="10">
        <s v="Diabetes"/>
        <s v="COPD"/>
        <s v="Heart Disease"/>
        <s v="Kidney Disease"/>
        <s v="Asthma"/>
        <s v="Hypertension"/>
        <s v="Stroke"/>
        <s v="Arthritis"/>
        <s v="Cancer"/>
        <s v="Liver Disease"/>
      </sharedItems>
    </cacheField>
    <cacheField name="AdmissionDate" numFmtId="14">
      <sharedItems containsSemiMixedTypes="0" containsNonDate="0" containsDate="1" containsString="0" minDate="2025-01-01T00:00:00" maxDate="2025-07-01T00:00:00" count="124">
        <d v="2025-03-22T00:00:00"/>
        <d v="2025-03-31T00:00:00"/>
        <d v="2025-01-08T00:00:00"/>
        <d v="2025-04-03T00:00:00"/>
        <d v="2025-06-03T00:00:00"/>
        <d v="2025-06-11T00:00:00"/>
        <d v="2025-04-25T00:00:00"/>
        <d v="2025-04-15T00:00:00"/>
        <d v="2025-05-15T00:00:00"/>
        <d v="2025-02-27T00:00:00"/>
        <d v="2025-04-24T00:00:00"/>
        <d v="2025-03-16T00:00:00"/>
        <d v="2025-06-06T00:00:00"/>
        <d v="2025-04-30T00:00:00"/>
        <d v="2025-06-13T00:00:00"/>
        <d v="2025-01-21T00:00:00"/>
        <d v="2025-05-18T00:00:00"/>
        <d v="2025-04-11T00:00:00"/>
        <d v="2025-06-01T00:00:00"/>
        <d v="2025-06-26T00:00:00"/>
        <d v="2025-04-09T00:00:00"/>
        <d v="2025-02-05T00:00:00"/>
        <d v="2025-04-06T00:00:00"/>
        <d v="2025-05-31T00:00:00"/>
        <d v="2025-02-06T00:00:00"/>
        <d v="2025-01-12T00:00:00"/>
        <d v="2025-04-23T00:00:00"/>
        <d v="2025-01-13T00:00:00"/>
        <d v="2025-01-23T00:00:00"/>
        <d v="2025-01-30T00:00:00"/>
        <d v="2025-01-17T00:00:00"/>
        <d v="2025-03-03T00:00:00"/>
        <d v="2025-03-25T00:00:00"/>
        <d v="2025-04-22T00:00:00"/>
        <d v="2025-03-27T00:00:00"/>
        <d v="2025-05-21T00:00:00"/>
        <d v="2025-01-19T00:00:00"/>
        <d v="2025-04-10T00:00:00"/>
        <d v="2025-05-20T00:00:00"/>
        <d v="2025-05-27T00:00:00"/>
        <d v="2025-03-17T00:00:00"/>
        <d v="2025-01-09T00:00:00"/>
        <d v="2025-01-28T00:00:00"/>
        <d v="2025-05-08T00:00:00"/>
        <d v="2025-02-21T00:00:00"/>
        <d v="2025-03-24T00:00:00"/>
        <d v="2025-04-21T00:00:00"/>
        <d v="2025-05-24T00:00:00"/>
        <d v="2025-04-27T00:00:00"/>
        <d v="2025-03-10T00:00:00"/>
        <d v="2025-01-25T00:00:00"/>
        <d v="2025-06-29T00:00:00"/>
        <d v="2025-05-03T00:00:00"/>
        <d v="2025-02-22T00:00:00"/>
        <d v="2025-02-26T00:00:00"/>
        <d v="2025-02-08T00:00:00"/>
        <d v="2025-04-19T00:00:00"/>
        <d v="2025-06-30T00:00:00"/>
        <d v="2025-02-11T00:00:00"/>
        <d v="2025-06-16T00:00:00"/>
        <d v="2025-05-22T00:00:00"/>
        <d v="2025-05-02T00:00:00"/>
        <d v="2025-05-13T00:00:00"/>
        <d v="2025-06-12T00:00:00"/>
        <d v="2025-05-26T00:00:00"/>
        <d v="2025-03-15T00:00:00"/>
        <d v="2025-05-25T00:00:00"/>
        <d v="2025-01-07T00:00:00"/>
        <d v="2025-06-23T00:00:00"/>
        <d v="2025-06-17T00:00:00"/>
        <d v="2025-06-19T00:00:00"/>
        <d v="2025-05-17T00:00:00"/>
        <d v="2025-06-27T00:00:00"/>
        <d v="2025-01-27T00:00:00"/>
        <d v="2025-01-05T00:00:00"/>
        <d v="2025-01-29T00:00:00"/>
        <d v="2025-06-14T00:00:00"/>
        <d v="2025-06-15T00:00:00"/>
        <d v="2025-05-16T00:00:00"/>
        <d v="2025-03-06T00:00:00"/>
        <d v="2025-03-12T00:00:00"/>
        <d v="2025-02-14T00:00:00"/>
        <d v="2025-05-12T00:00:00"/>
        <d v="2025-03-11T00:00:00"/>
        <d v="2025-06-08T00:00:00"/>
        <d v="2025-04-18T00:00:00"/>
        <d v="2025-04-01T00:00:00"/>
        <d v="2025-05-06T00:00:00"/>
        <d v="2025-06-22T00:00:00"/>
        <d v="2025-05-28T00:00:00"/>
        <d v="2025-03-02T00:00:00"/>
        <d v="2025-05-07T00:00:00"/>
        <d v="2025-01-01T00:00:00"/>
        <d v="2025-05-11T00:00:00"/>
        <d v="2025-04-02T00:00:00"/>
        <d v="2025-06-02T00:00:00"/>
        <d v="2025-02-25T00:00:00"/>
        <d v="2025-06-10T00:00:00"/>
        <d v="2025-05-14T00:00:00"/>
        <d v="2025-02-13T00:00:00"/>
        <d v="2025-06-09T00:00:00"/>
        <d v="2025-02-16T00:00:00"/>
        <d v="2025-05-29T00:00:00"/>
        <d v="2025-03-21T00:00:00"/>
        <d v="2025-04-28T00:00:00"/>
        <d v="2025-01-20T00:00:00"/>
        <d v="2025-02-18T00:00:00"/>
        <d v="2025-01-14T00:00:00"/>
        <d v="2025-05-23T00:00:00"/>
        <d v="2025-02-23T00:00:00"/>
        <d v="2025-01-03T00:00:00"/>
        <d v="2025-01-16T00:00:00"/>
        <d v="2025-04-12T00:00:00"/>
        <d v="2025-06-05T00:00:00"/>
        <d v="2025-03-01T00:00:00"/>
        <d v="2025-02-10T00:00:00"/>
        <d v="2025-06-04T00:00:00"/>
        <d v="2025-02-15T00:00:00"/>
        <d v="2025-02-04T00:00:00"/>
        <d v="2025-03-23T00:00:00"/>
        <d v="2025-01-10T00:00:00"/>
        <d v="2025-04-29T00:00:00"/>
        <d v="2025-02-02T00:00:00"/>
        <d v="2025-01-11T00:00:00"/>
      </sharedItems>
    </cacheField>
    <cacheField name="DischargeDate" numFmtId="14">
      <sharedItems containsSemiMixedTypes="0" containsNonDate="0" containsDate="1" containsString="0" minDate="2025-01-14T00:00:00" maxDate="2025-07-11T00:00:00" count="115">
        <d v="2025-04-04T00:00:00"/>
        <d v="2025-04-02T00:00:00"/>
        <d v="2025-03-13T00:00:00"/>
        <d v="2025-04-05T00:00:00"/>
        <d v="2025-06-04T00:00:00"/>
        <d v="2025-07-05T00:00:00"/>
        <d v="2025-06-19T00:00:00"/>
        <d v="2025-04-17T00:00:00"/>
        <d v="2025-05-19T00:00:00"/>
        <d v="2025-04-18T00:00:00"/>
        <d v="2025-05-18T00:00:00"/>
        <d v="2025-06-07T00:00:00"/>
        <d v="2025-06-10T00:00:00"/>
        <d v="2025-05-03T00:00:00"/>
        <d v="2025-06-15T00:00:00"/>
        <d v="2025-05-22T00:00:00"/>
        <d v="2025-06-22T00:00:00"/>
        <d v="2025-05-20T00:00:00"/>
        <d v="2025-07-09T00:00:00"/>
        <d v="2025-06-11T00:00:00"/>
        <d v="2025-07-03T00:00:00"/>
        <d v="2025-06-23T00:00:00"/>
        <d v="2025-06-03T00:00:00"/>
        <d v="2025-06-02T00:00:00"/>
        <d v="2025-06-01T00:00:00"/>
        <d v="2025-04-29T00:00:00"/>
        <d v="2025-01-14T00:00:00"/>
        <d v="2025-04-27T00:00:00"/>
        <d v="2025-07-01T00:00:00"/>
        <d v="2025-01-27T00:00:00"/>
        <d v="2025-05-02T00:00:00"/>
        <d v="2025-04-24T00:00:00"/>
        <d v="2025-02-12T00:00:00"/>
        <d v="2025-04-11T00:00:00"/>
        <d v="2025-03-22T00:00:00"/>
        <d v="2025-03-26T00:00:00"/>
        <d v="2025-06-12T00:00:00"/>
        <d v="2025-06-20T00:00:00"/>
        <d v="2025-07-10T00:00:00"/>
        <d v="2025-05-07T00:00:00"/>
        <d v="2025-05-12T00:00:00"/>
        <d v="2025-05-24T00:00:00"/>
        <d v="2025-06-05T00:00:00"/>
        <d v="2025-03-24T00:00:00"/>
        <d v="2025-03-07T00:00:00"/>
        <d v="2025-05-01T00:00:00"/>
        <d v="2025-03-28T00:00:00"/>
        <d v="2025-06-09T00:00:00"/>
        <d v="2025-05-31T00:00:00"/>
        <d v="2025-03-16T00:00:00"/>
        <d v="2025-04-19T00:00:00"/>
        <d v="2025-07-07T00:00:00"/>
        <d v="2025-04-22T00:00:00"/>
        <d v="2025-07-04T00:00:00"/>
        <d v="2025-05-04T00:00:00"/>
        <d v="2025-02-28T00:00:00"/>
        <d v="2025-03-04T00:00:00"/>
        <d v="2025-03-29T00:00:00"/>
        <d v="2025-03-02T00:00:00"/>
        <d v="2025-06-24T00:00:00"/>
        <d v="2025-05-25T00:00:00"/>
        <d v="2025-05-06T00:00:00"/>
        <d v="2025-06-14T00:00:00"/>
        <d v="2025-03-31T00:00:00"/>
        <d v="2025-05-28T00:00:00"/>
        <d v="2025-05-21T00:00:00"/>
        <d v="2025-05-27T00:00:00"/>
        <d v="2025-06-25T00:00:00"/>
        <d v="2025-06-29T00:00:00"/>
        <d v="2025-06-28T00:00:00"/>
        <d v="2025-05-15T00:00:00"/>
        <d v="2025-05-10T00:00:00"/>
        <d v="2025-04-30T00:00:00"/>
        <d v="2025-06-17T00:00:00"/>
        <d v="2025-04-14T00:00:00"/>
        <d v="2025-05-23T00:00:00"/>
        <d v="2025-03-08T00:00:00"/>
        <d v="2025-02-19T00:00:00"/>
        <d v="2025-06-13T00:00:00"/>
        <d v="2025-04-12T00:00:00"/>
        <d v="2025-06-18T00:00:00"/>
        <d v="2025-07-06T00:00:00"/>
        <d v="2025-06-26T00:00:00"/>
        <d v="2025-01-30T00:00:00"/>
        <d v="2025-02-10T00:00:00"/>
        <d v="2025-05-11T00:00:00"/>
        <d v="2025-05-30T00:00:00"/>
        <d v="2025-03-06T00:00:00"/>
        <d v="2025-02-24T00:00:00"/>
        <d v="2025-05-16T00:00:00"/>
        <d v="2025-06-08T00:00:00"/>
        <d v="2025-06-21T00:00:00"/>
        <d v="2025-04-13T00:00:00"/>
        <d v="2025-06-27T00:00:00"/>
        <d v="2025-07-02T00:00:00"/>
        <d v="2025-03-11T00:00:00"/>
        <d v="2025-03-30T00:00:00"/>
        <d v="2025-06-16T00:00:00"/>
        <d v="2025-07-08T00:00:00"/>
        <d v="2025-02-25T00:00:00"/>
        <d v="2025-04-28T00:00:00"/>
        <d v="2025-01-23T00:00:00"/>
        <d v="2025-03-19T00:00:00"/>
        <d v="2025-01-22T00:00:00"/>
        <d v="2025-06-06T00:00:00"/>
        <d v="2025-02-16T00:00:00"/>
        <d v="2025-04-03T00:00:00"/>
        <d v="2025-04-07T00:00:00"/>
        <d v="2025-03-03T00:00:00"/>
        <d v="2025-04-21T00:00:00"/>
        <d v="2025-03-17T00:00:00"/>
        <d v="2025-01-17T00:00:00"/>
        <d v="2025-02-20T00:00:00"/>
        <d v="2025-04-20T00:00:00"/>
        <d v="2025-03-09T00:00:00"/>
      </sharedItems>
    </cacheField>
    <cacheField name="stay" numFmtId="1">
      <sharedItems containsSemiMixedTypes="0" containsString="0" containsNumber="1" containsInteger="1" minValue="1" maxValue="169"/>
    </cacheField>
    <cacheField name="OutcomeID" numFmtId="0">
      <sharedItems containsSemiMixedTypes="0" containsString="0" containsNumber="1" containsInteger="1" minValue="1" maxValue="3"/>
    </cacheField>
    <cacheField name="status" numFmtId="0">
      <sharedItems count="3">
        <s v="Recovered"/>
        <s v="Complicated"/>
        <s v="Deceased"/>
      </sharedItems>
    </cacheField>
    <cacheField name="TreatmentCost" numFmtId="0">
      <sharedItems containsSemiMixedTypes="0" containsString="0" containsNumber="1" containsInteger="1" minValue="2054" maxValue="9973"/>
    </cacheField>
    <cacheField name="test perform" numFmtId="0">
      <sharedItems count="6">
        <s v="Blood Pressure"/>
        <s v="Cholesterol"/>
        <s v="Blood Sugar"/>
        <s v="Creatinine"/>
        <s v="Hemoglobin"/>
        <s v="Vitamin D"/>
      </sharedItems>
    </cacheField>
    <cacheField name="result" numFmtId="0">
      <sharedItems containsSemiMixedTypes="0" containsString="0" containsNumber="1" minValue="51.6" maxValue="299.3" count="192">
        <n v="89.7"/>
        <n v="270.2"/>
        <n v="268"/>
        <n v="57.3"/>
        <n v="256.5"/>
        <n v="82.2"/>
        <n v="133.80000000000001"/>
        <n v="235.9"/>
        <n v="90.2"/>
        <n v="254.5"/>
        <n v="258"/>
        <n v="176.9"/>
        <n v="51.6"/>
        <n v="121.8"/>
        <n v="204.2"/>
        <n v="295.3"/>
        <n v="208"/>
        <n v="115"/>
        <n v="208.5"/>
        <n v="185"/>
        <n v="245"/>
        <n v="76.7"/>
        <n v="240.3"/>
        <n v="185.3"/>
        <n v="290.7"/>
        <n v="135.5"/>
        <n v="208.2"/>
        <n v="283"/>
        <n v="75.599999999999994"/>
        <n v="284.3"/>
        <n v="222"/>
        <n v="67"/>
        <n v="125.2"/>
        <n v="227"/>
        <n v="66.8"/>
        <n v="195.5"/>
        <n v="136.5"/>
        <n v="205.2"/>
        <n v="61.4"/>
        <n v="267.89999999999998"/>
        <n v="293.39999999999998"/>
        <n v="292.2"/>
        <n v="237.4"/>
        <n v="82.5"/>
        <n v="239.6"/>
        <n v="56.1"/>
        <n v="55.5"/>
        <n v="130.9"/>
        <n v="172.2"/>
        <n v="242.6"/>
        <n v="220.8"/>
        <n v="161.5"/>
        <n v="118.4"/>
        <n v="299.3"/>
        <n v="156.5"/>
        <n v="162.80000000000001"/>
        <n v="90.9"/>
        <n v="248.7"/>
        <n v="223.4"/>
        <n v="105.2"/>
        <n v="70.599999999999994"/>
        <n v="220.1"/>
        <n v="213.6"/>
        <n v="118.3"/>
        <n v="287.7"/>
        <n v="87.8"/>
        <n v="158.1"/>
        <n v="285.89999999999998"/>
        <n v="154.9"/>
        <n v="209.6"/>
        <n v="149.4"/>
        <n v="118.6"/>
        <n v="296"/>
        <n v="152.30000000000001"/>
        <n v="273.5"/>
        <n v="107.5"/>
        <n v="103.3"/>
        <n v="57.8"/>
        <n v="212.9"/>
        <n v="142.1"/>
        <n v="266.10000000000002"/>
        <n v="168.3"/>
        <n v="292"/>
        <n v="96.4"/>
        <n v="267.2"/>
        <n v="244.1"/>
        <n v="242.7"/>
        <n v="261.2"/>
        <n v="206.6"/>
        <n v="82.8"/>
        <n v="58.1"/>
        <n v="280.2"/>
        <n v="249.1"/>
        <n v="170.4"/>
        <n v="79.3"/>
        <n v="81.3"/>
        <n v="221.4"/>
        <n v="157.6"/>
        <n v="100.1"/>
        <n v="172.9"/>
        <n v="66.099999999999994"/>
        <n v="117.2"/>
        <n v="249.4"/>
        <n v="127.6"/>
        <n v="163.80000000000001"/>
        <n v="52.9"/>
        <n v="68.099999999999994"/>
        <n v="148.1"/>
        <n v="170"/>
        <n v="200"/>
        <n v="122.9"/>
        <n v="223.7"/>
        <n v="265"/>
        <n v="59.9"/>
        <n v="170.1"/>
        <n v="76.2"/>
        <n v="110.5"/>
        <n v="296.7"/>
        <n v="85.6"/>
        <n v="174.7"/>
        <n v="204.5"/>
        <n v="225.6"/>
        <n v="189.9"/>
        <n v="52.4"/>
        <n v="131.6"/>
        <n v="179.4"/>
        <n v="72"/>
        <n v="137.69999999999999"/>
        <n v="58.3"/>
        <n v="69.599999999999994"/>
        <n v="149.19999999999999"/>
        <n v="83.2"/>
        <n v="191.9"/>
        <n v="222.4"/>
        <n v="250.1"/>
        <n v="100"/>
        <n v="91.9"/>
        <n v="76.099999999999994"/>
        <n v="209.1"/>
        <n v="226.6"/>
        <n v="57.9"/>
        <n v="284.10000000000002"/>
        <n v="63"/>
        <n v="227.3"/>
        <n v="267.7"/>
        <n v="228.5"/>
        <n v="250.4"/>
        <n v="134.9"/>
        <n v="253.7"/>
        <n v="70"/>
        <n v="273.7"/>
        <n v="186.9"/>
        <n v="254.3"/>
        <n v="163.1"/>
        <n v="210.9"/>
        <n v="181.6"/>
        <n v="232.9"/>
        <n v="70.400000000000006"/>
        <n v="65.099999999999994"/>
        <n v="111.8"/>
        <n v="89.9"/>
        <n v="104.8"/>
        <n v="294"/>
        <n v="134.19999999999999"/>
        <n v="95.5"/>
        <n v="247.4"/>
        <n v="214.7"/>
        <n v="174.5"/>
        <n v="188.8"/>
        <n v="229.8"/>
        <n v="107.1"/>
        <n v="299.10000000000002"/>
        <n v="293.7"/>
        <n v="212.6"/>
        <n v="99.9"/>
        <n v="68"/>
        <n v="57.7"/>
        <n v="114.4"/>
        <n v="165.7"/>
        <n v="267.10000000000002"/>
        <n v="231.8"/>
        <n v="235.7"/>
        <n v="156.4"/>
        <n v="142.80000000000001"/>
        <n v="296.89999999999998"/>
        <n v="60"/>
        <n v="266.8"/>
        <n v="194.7"/>
        <n v="159.69999999999999"/>
        <n v="231.3"/>
        <n v="171.7"/>
        <n v="268.39999999999998"/>
      </sharedItems>
    </cacheField>
    <cacheField name="result is good /bad" numFmtId="0">
      <sharedItems count="2">
        <s v="good"/>
        <s v="bad"/>
      </sharedItems>
    </cacheField>
  </cacheFields>
  <extLst>
    <ext xmlns:x14="http://schemas.microsoft.com/office/spreadsheetml/2009/9/main" uri="{725AE2AE-9491-48be-B2B4-4EB974FC3084}">
      <x14:pivotCacheDefinition pivotCacheId="10609466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x v="0"/>
    <n v="2"/>
    <x v="0"/>
    <x v="0"/>
    <x v="0"/>
    <n v="13"/>
    <n v="1"/>
    <x v="0"/>
    <n v="4443"/>
    <x v="0"/>
    <x v="0"/>
    <x v="0"/>
  </r>
  <r>
    <x v="1"/>
    <x v="1"/>
    <x v="1"/>
    <x v="0"/>
    <n v="2"/>
    <x v="0"/>
    <x v="1"/>
    <x v="1"/>
    <n v="2"/>
    <n v="2"/>
    <x v="1"/>
    <n v="4265"/>
    <x v="1"/>
    <x v="1"/>
    <x v="0"/>
  </r>
  <r>
    <x v="2"/>
    <x v="2"/>
    <x v="2"/>
    <x v="0"/>
    <n v="6"/>
    <x v="1"/>
    <x v="2"/>
    <x v="2"/>
    <n v="64"/>
    <n v="1"/>
    <x v="0"/>
    <n v="4188"/>
    <x v="0"/>
    <x v="2"/>
    <x v="0"/>
  </r>
  <r>
    <x v="3"/>
    <x v="3"/>
    <x v="3"/>
    <x v="1"/>
    <n v="3"/>
    <x v="2"/>
    <x v="3"/>
    <x v="3"/>
    <n v="2"/>
    <n v="1"/>
    <x v="0"/>
    <n v="9783"/>
    <x v="1"/>
    <x v="3"/>
    <x v="0"/>
  </r>
  <r>
    <x v="4"/>
    <x v="4"/>
    <x v="4"/>
    <x v="1"/>
    <n v="9"/>
    <x v="3"/>
    <x v="4"/>
    <x v="4"/>
    <n v="1"/>
    <n v="1"/>
    <x v="0"/>
    <n v="5005"/>
    <x v="2"/>
    <x v="4"/>
    <x v="0"/>
  </r>
  <r>
    <x v="5"/>
    <x v="5"/>
    <x v="5"/>
    <x v="1"/>
    <n v="4"/>
    <x v="4"/>
    <x v="1"/>
    <x v="3"/>
    <n v="5"/>
    <n v="1"/>
    <x v="0"/>
    <n v="5281"/>
    <x v="3"/>
    <x v="5"/>
    <x v="0"/>
  </r>
  <r>
    <x v="6"/>
    <x v="6"/>
    <x v="6"/>
    <x v="1"/>
    <n v="1"/>
    <x v="5"/>
    <x v="5"/>
    <x v="5"/>
    <n v="24"/>
    <n v="2"/>
    <x v="1"/>
    <n v="2984"/>
    <x v="0"/>
    <x v="6"/>
    <x v="0"/>
  </r>
  <r>
    <x v="7"/>
    <x v="7"/>
    <x v="0"/>
    <x v="0"/>
    <n v="4"/>
    <x v="4"/>
    <x v="6"/>
    <x v="6"/>
    <n v="55"/>
    <n v="1"/>
    <x v="0"/>
    <n v="9136"/>
    <x v="4"/>
    <x v="7"/>
    <x v="0"/>
  </r>
  <r>
    <x v="8"/>
    <x v="8"/>
    <x v="7"/>
    <x v="1"/>
    <n v="1"/>
    <x v="5"/>
    <x v="7"/>
    <x v="7"/>
    <n v="2"/>
    <n v="2"/>
    <x v="1"/>
    <n v="9790"/>
    <x v="4"/>
    <x v="8"/>
    <x v="0"/>
  </r>
  <r>
    <x v="9"/>
    <x v="9"/>
    <x v="8"/>
    <x v="0"/>
    <n v="5"/>
    <x v="6"/>
    <x v="8"/>
    <x v="8"/>
    <n v="4"/>
    <n v="2"/>
    <x v="1"/>
    <n v="3639"/>
    <x v="5"/>
    <x v="9"/>
    <x v="0"/>
  </r>
  <r>
    <x v="10"/>
    <x v="10"/>
    <x v="9"/>
    <x v="0"/>
    <n v="4"/>
    <x v="4"/>
    <x v="9"/>
    <x v="9"/>
    <n v="50"/>
    <n v="3"/>
    <x v="2"/>
    <n v="2827"/>
    <x v="1"/>
    <x v="10"/>
    <x v="0"/>
  </r>
  <r>
    <x v="11"/>
    <x v="11"/>
    <x v="10"/>
    <x v="1"/>
    <n v="8"/>
    <x v="7"/>
    <x v="10"/>
    <x v="10"/>
    <n v="24"/>
    <n v="2"/>
    <x v="1"/>
    <n v="4730"/>
    <x v="0"/>
    <x v="11"/>
    <x v="0"/>
  </r>
  <r>
    <x v="12"/>
    <x v="12"/>
    <x v="10"/>
    <x v="1"/>
    <n v="8"/>
    <x v="7"/>
    <x v="11"/>
    <x v="11"/>
    <n v="83"/>
    <n v="3"/>
    <x v="2"/>
    <n v="5531"/>
    <x v="5"/>
    <x v="12"/>
    <x v="0"/>
  </r>
  <r>
    <x v="13"/>
    <x v="13"/>
    <x v="11"/>
    <x v="1"/>
    <n v="7"/>
    <x v="8"/>
    <x v="12"/>
    <x v="12"/>
    <n v="4"/>
    <n v="2"/>
    <x v="1"/>
    <n v="9147"/>
    <x v="0"/>
    <x v="13"/>
    <x v="0"/>
  </r>
  <r>
    <x v="14"/>
    <x v="14"/>
    <x v="12"/>
    <x v="1"/>
    <n v="3"/>
    <x v="2"/>
    <x v="13"/>
    <x v="13"/>
    <n v="3"/>
    <n v="2"/>
    <x v="1"/>
    <n v="6451"/>
    <x v="1"/>
    <x v="14"/>
    <x v="0"/>
  </r>
  <r>
    <x v="15"/>
    <x v="15"/>
    <x v="13"/>
    <x v="1"/>
    <n v="1"/>
    <x v="5"/>
    <x v="14"/>
    <x v="14"/>
    <n v="2"/>
    <n v="2"/>
    <x v="1"/>
    <n v="9151"/>
    <x v="4"/>
    <x v="15"/>
    <x v="0"/>
  </r>
  <r>
    <x v="16"/>
    <x v="16"/>
    <x v="14"/>
    <x v="1"/>
    <n v="1"/>
    <x v="5"/>
    <x v="15"/>
    <x v="15"/>
    <n v="121"/>
    <n v="3"/>
    <x v="2"/>
    <n v="7443"/>
    <x v="2"/>
    <x v="16"/>
    <x v="0"/>
  </r>
  <r>
    <x v="17"/>
    <x v="17"/>
    <x v="11"/>
    <x v="1"/>
    <n v="3"/>
    <x v="2"/>
    <x v="14"/>
    <x v="16"/>
    <n v="9"/>
    <n v="3"/>
    <x v="2"/>
    <n v="9300"/>
    <x v="4"/>
    <x v="17"/>
    <x v="0"/>
  </r>
  <r>
    <x v="18"/>
    <x v="18"/>
    <x v="15"/>
    <x v="1"/>
    <n v="6"/>
    <x v="1"/>
    <x v="16"/>
    <x v="17"/>
    <n v="2"/>
    <n v="1"/>
    <x v="0"/>
    <n v="4935"/>
    <x v="5"/>
    <x v="18"/>
    <x v="0"/>
  </r>
  <r>
    <x v="19"/>
    <x v="19"/>
    <x v="16"/>
    <x v="0"/>
    <n v="7"/>
    <x v="8"/>
    <x v="17"/>
    <x v="18"/>
    <n v="89"/>
    <n v="3"/>
    <x v="2"/>
    <n v="5876"/>
    <x v="3"/>
    <x v="19"/>
    <x v="0"/>
  </r>
  <r>
    <x v="20"/>
    <x v="20"/>
    <x v="12"/>
    <x v="1"/>
    <n v="6"/>
    <x v="1"/>
    <x v="18"/>
    <x v="19"/>
    <n v="10"/>
    <n v="3"/>
    <x v="2"/>
    <n v="7959"/>
    <x v="2"/>
    <x v="20"/>
    <x v="0"/>
  </r>
  <r>
    <x v="21"/>
    <x v="21"/>
    <x v="17"/>
    <x v="1"/>
    <n v="6"/>
    <x v="1"/>
    <x v="19"/>
    <x v="20"/>
    <n v="7"/>
    <n v="3"/>
    <x v="2"/>
    <n v="2126"/>
    <x v="5"/>
    <x v="21"/>
    <x v="0"/>
  </r>
  <r>
    <x v="22"/>
    <x v="22"/>
    <x v="11"/>
    <x v="0"/>
    <n v="6"/>
    <x v="1"/>
    <x v="20"/>
    <x v="21"/>
    <n v="75"/>
    <n v="3"/>
    <x v="2"/>
    <n v="5177"/>
    <x v="1"/>
    <x v="22"/>
    <x v="0"/>
  </r>
  <r>
    <x v="23"/>
    <x v="23"/>
    <x v="18"/>
    <x v="1"/>
    <n v="3"/>
    <x v="2"/>
    <x v="21"/>
    <x v="1"/>
    <n v="56"/>
    <n v="1"/>
    <x v="0"/>
    <n v="5056"/>
    <x v="2"/>
    <x v="23"/>
    <x v="0"/>
  </r>
  <r>
    <x v="24"/>
    <x v="24"/>
    <x v="19"/>
    <x v="0"/>
    <n v="6"/>
    <x v="1"/>
    <x v="22"/>
    <x v="22"/>
    <n v="58"/>
    <n v="3"/>
    <x v="2"/>
    <n v="2603"/>
    <x v="5"/>
    <x v="24"/>
    <x v="0"/>
  </r>
  <r>
    <x v="25"/>
    <x v="25"/>
    <x v="20"/>
    <x v="0"/>
    <n v="8"/>
    <x v="7"/>
    <x v="18"/>
    <x v="23"/>
    <n v="1"/>
    <n v="2"/>
    <x v="1"/>
    <n v="9966"/>
    <x v="1"/>
    <x v="25"/>
    <x v="0"/>
  </r>
  <r>
    <x v="26"/>
    <x v="26"/>
    <x v="17"/>
    <x v="1"/>
    <n v="2"/>
    <x v="0"/>
    <x v="23"/>
    <x v="24"/>
    <n v="1"/>
    <n v="2"/>
    <x v="1"/>
    <n v="5449"/>
    <x v="4"/>
    <x v="26"/>
    <x v="0"/>
  </r>
  <r>
    <x v="27"/>
    <x v="27"/>
    <x v="21"/>
    <x v="0"/>
    <n v="5"/>
    <x v="6"/>
    <x v="24"/>
    <x v="25"/>
    <n v="82"/>
    <n v="3"/>
    <x v="2"/>
    <n v="8024"/>
    <x v="3"/>
    <x v="27"/>
    <x v="0"/>
  </r>
  <r>
    <x v="28"/>
    <x v="28"/>
    <x v="6"/>
    <x v="0"/>
    <n v="1"/>
    <x v="5"/>
    <x v="25"/>
    <x v="26"/>
    <n v="2"/>
    <n v="3"/>
    <x v="2"/>
    <n v="7109"/>
    <x v="1"/>
    <x v="28"/>
    <x v="1"/>
  </r>
  <r>
    <x v="29"/>
    <x v="29"/>
    <x v="22"/>
    <x v="0"/>
    <n v="1"/>
    <x v="5"/>
    <x v="26"/>
    <x v="27"/>
    <n v="4"/>
    <n v="2"/>
    <x v="1"/>
    <n v="6146"/>
    <x v="0"/>
    <x v="29"/>
    <x v="1"/>
  </r>
  <r>
    <x v="30"/>
    <x v="30"/>
    <x v="23"/>
    <x v="0"/>
    <n v="5"/>
    <x v="6"/>
    <x v="27"/>
    <x v="28"/>
    <n v="169"/>
    <n v="2"/>
    <x v="1"/>
    <n v="9196"/>
    <x v="1"/>
    <x v="30"/>
    <x v="1"/>
  </r>
  <r>
    <x v="31"/>
    <x v="31"/>
    <x v="7"/>
    <x v="1"/>
    <n v="3"/>
    <x v="2"/>
    <x v="28"/>
    <x v="29"/>
    <n v="4"/>
    <n v="1"/>
    <x v="0"/>
    <n v="5533"/>
    <x v="1"/>
    <x v="31"/>
    <x v="1"/>
  </r>
  <r>
    <x v="32"/>
    <x v="32"/>
    <x v="16"/>
    <x v="0"/>
    <n v="4"/>
    <x v="4"/>
    <x v="20"/>
    <x v="30"/>
    <n v="23"/>
    <n v="2"/>
    <x v="1"/>
    <n v="5367"/>
    <x v="3"/>
    <x v="32"/>
    <x v="1"/>
  </r>
  <r>
    <x v="33"/>
    <x v="33"/>
    <x v="18"/>
    <x v="1"/>
    <n v="3"/>
    <x v="2"/>
    <x v="7"/>
    <x v="31"/>
    <n v="9"/>
    <n v="2"/>
    <x v="1"/>
    <n v="5368"/>
    <x v="0"/>
    <x v="33"/>
    <x v="1"/>
  </r>
  <r>
    <x v="34"/>
    <x v="34"/>
    <x v="24"/>
    <x v="0"/>
    <n v="1"/>
    <x v="5"/>
    <x v="29"/>
    <x v="32"/>
    <n v="13"/>
    <n v="3"/>
    <x v="2"/>
    <n v="5797"/>
    <x v="5"/>
    <x v="34"/>
    <x v="1"/>
  </r>
  <r>
    <x v="35"/>
    <x v="35"/>
    <x v="25"/>
    <x v="0"/>
    <n v="1"/>
    <x v="5"/>
    <x v="30"/>
    <x v="33"/>
    <n v="84"/>
    <n v="2"/>
    <x v="1"/>
    <n v="8922"/>
    <x v="5"/>
    <x v="35"/>
    <x v="1"/>
  </r>
  <r>
    <x v="36"/>
    <x v="36"/>
    <x v="26"/>
    <x v="0"/>
    <n v="5"/>
    <x v="6"/>
    <x v="26"/>
    <x v="13"/>
    <n v="10"/>
    <n v="1"/>
    <x v="0"/>
    <n v="7526"/>
    <x v="1"/>
    <x v="36"/>
    <x v="1"/>
  </r>
  <r>
    <x v="37"/>
    <x v="37"/>
    <x v="27"/>
    <x v="0"/>
    <n v="6"/>
    <x v="1"/>
    <x v="31"/>
    <x v="34"/>
    <n v="19"/>
    <n v="2"/>
    <x v="1"/>
    <n v="3792"/>
    <x v="0"/>
    <x v="37"/>
    <x v="1"/>
  </r>
  <r>
    <x v="38"/>
    <x v="38"/>
    <x v="28"/>
    <x v="1"/>
    <n v="3"/>
    <x v="2"/>
    <x v="32"/>
    <x v="35"/>
    <n v="1"/>
    <n v="3"/>
    <x v="2"/>
    <n v="4861"/>
    <x v="0"/>
    <x v="38"/>
    <x v="1"/>
  </r>
  <r>
    <x v="39"/>
    <x v="39"/>
    <x v="29"/>
    <x v="1"/>
    <n v="9"/>
    <x v="3"/>
    <x v="33"/>
    <x v="36"/>
    <n v="51"/>
    <n v="3"/>
    <x v="2"/>
    <n v="7732"/>
    <x v="3"/>
    <x v="39"/>
    <x v="1"/>
  </r>
  <r>
    <x v="40"/>
    <x v="40"/>
    <x v="21"/>
    <x v="0"/>
    <n v="5"/>
    <x v="6"/>
    <x v="34"/>
    <x v="37"/>
    <n v="85"/>
    <n v="2"/>
    <x v="1"/>
    <n v="5476"/>
    <x v="4"/>
    <x v="40"/>
    <x v="1"/>
  </r>
  <r>
    <x v="41"/>
    <x v="41"/>
    <x v="30"/>
    <x v="0"/>
    <n v="8"/>
    <x v="7"/>
    <x v="35"/>
    <x v="38"/>
    <n v="50"/>
    <n v="3"/>
    <x v="2"/>
    <n v="5417"/>
    <x v="5"/>
    <x v="41"/>
    <x v="1"/>
  </r>
  <r>
    <x v="42"/>
    <x v="42"/>
    <x v="3"/>
    <x v="1"/>
    <n v="1"/>
    <x v="5"/>
    <x v="36"/>
    <x v="39"/>
    <n v="108"/>
    <n v="1"/>
    <x v="0"/>
    <n v="3645"/>
    <x v="3"/>
    <x v="42"/>
    <x v="1"/>
  </r>
  <r>
    <x v="43"/>
    <x v="43"/>
    <x v="31"/>
    <x v="0"/>
    <n v="5"/>
    <x v="6"/>
    <x v="19"/>
    <x v="5"/>
    <n v="9"/>
    <n v="1"/>
    <x v="0"/>
    <n v="8563"/>
    <x v="2"/>
    <x v="43"/>
    <x v="1"/>
  </r>
  <r>
    <x v="44"/>
    <x v="44"/>
    <x v="32"/>
    <x v="0"/>
    <n v="3"/>
    <x v="2"/>
    <x v="37"/>
    <x v="40"/>
    <n v="32"/>
    <n v="2"/>
    <x v="1"/>
    <n v="3205"/>
    <x v="5"/>
    <x v="44"/>
    <x v="1"/>
  </r>
  <r>
    <x v="45"/>
    <x v="45"/>
    <x v="18"/>
    <x v="0"/>
    <n v="1"/>
    <x v="5"/>
    <x v="38"/>
    <x v="41"/>
    <n v="4"/>
    <n v="2"/>
    <x v="1"/>
    <n v="5030"/>
    <x v="3"/>
    <x v="45"/>
    <x v="1"/>
  </r>
  <r>
    <x v="46"/>
    <x v="46"/>
    <x v="33"/>
    <x v="1"/>
    <n v="4"/>
    <x v="4"/>
    <x v="39"/>
    <x v="42"/>
    <n v="9"/>
    <n v="2"/>
    <x v="1"/>
    <n v="4872"/>
    <x v="5"/>
    <x v="46"/>
    <x v="1"/>
  </r>
  <r>
    <x v="47"/>
    <x v="47"/>
    <x v="1"/>
    <x v="1"/>
    <n v="5"/>
    <x v="6"/>
    <x v="40"/>
    <x v="43"/>
    <n v="7"/>
    <n v="3"/>
    <x v="2"/>
    <n v="5072"/>
    <x v="4"/>
    <x v="47"/>
    <x v="1"/>
  </r>
  <r>
    <x v="48"/>
    <x v="48"/>
    <x v="34"/>
    <x v="1"/>
    <n v="7"/>
    <x v="8"/>
    <x v="41"/>
    <x v="15"/>
    <n v="133"/>
    <n v="1"/>
    <x v="0"/>
    <n v="3854"/>
    <x v="2"/>
    <x v="48"/>
    <x v="1"/>
  </r>
  <r>
    <x v="49"/>
    <x v="49"/>
    <x v="15"/>
    <x v="0"/>
    <n v="1"/>
    <x v="5"/>
    <x v="42"/>
    <x v="44"/>
    <n v="38"/>
    <n v="1"/>
    <x v="0"/>
    <n v="6021"/>
    <x v="4"/>
    <x v="49"/>
    <x v="1"/>
  </r>
  <r>
    <x v="50"/>
    <x v="50"/>
    <x v="35"/>
    <x v="0"/>
    <n v="3"/>
    <x v="2"/>
    <x v="43"/>
    <x v="22"/>
    <n v="26"/>
    <n v="3"/>
    <x v="2"/>
    <n v="6662"/>
    <x v="2"/>
    <x v="50"/>
    <x v="1"/>
  </r>
  <r>
    <x v="51"/>
    <x v="51"/>
    <x v="32"/>
    <x v="1"/>
    <n v="2"/>
    <x v="0"/>
    <x v="44"/>
    <x v="45"/>
    <n v="69"/>
    <n v="1"/>
    <x v="0"/>
    <n v="8514"/>
    <x v="1"/>
    <x v="51"/>
    <x v="1"/>
  </r>
  <r>
    <x v="52"/>
    <x v="52"/>
    <x v="36"/>
    <x v="1"/>
    <n v="9"/>
    <x v="3"/>
    <x v="45"/>
    <x v="46"/>
    <n v="4"/>
    <n v="2"/>
    <x v="1"/>
    <n v="7031"/>
    <x v="3"/>
    <x v="52"/>
    <x v="1"/>
  </r>
  <r>
    <x v="53"/>
    <x v="53"/>
    <x v="6"/>
    <x v="1"/>
    <n v="10"/>
    <x v="9"/>
    <x v="46"/>
    <x v="47"/>
    <n v="49"/>
    <n v="2"/>
    <x v="1"/>
    <n v="8030"/>
    <x v="2"/>
    <x v="53"/>
    <x v="1"/>
  </r>
  <r>
    <x v="54"/>
    <x v="54"/>
    <x v="37"/>
    <x v="1"/>
    <n v="6"/>
    <x v="1"/>
    <x v="47"/>
    <x v="24"/>
    <n v="8"/>
    <n v="2"/>
    <x v="1"/>
    <n v="4708"/>
    <x v="4"/>
    <x v="54"/>
    <x v="1"/>
  </r>
  <r>
    <x v="55"/>
    <x v="55"/>
    <x v="0"/>
    <x v="0"/>
    <n v="10"/>
    <x v="9"/>
    <x v="48"/>
    <x v="48"/>
    <n v="34"/>
    <n v="1"/>
    <x v="0"/>
    <n v="5502"/>
    <x v="5"/>
    <x v="55"/>
    <x v="1"/>
  </r>
  <r>
    <x v="56"/>
    <x v="56"/>
    <x v="38"/>
    <x v="1"/>
    <n v="3"/>
    <x v="2"/>
    <x v="49"/>
    <x v="49"/>
    <n v="6"/>
    <n v="2"/>
    <x v="1"/>
    <n v="9112"/>
    <x v="2"/>
    <x v="56"/>
    <x v="1"/>
  </r>
  <r>
    <x v="57"/>
    <x v="57"/>
    <x v="39"/>
    <x v="0"/>
    <n v="8"/>
    <x v="7"/>
    <x v="20"/>
    <x v="50"/>
    <n v="10"/>
    <n v="3"/>
    <x v="2"/>
    <n v="3332"/>
    <x v="3"/>
    <x v="57"/>
    <x v="1"/>
  </r>
  <r>
    <x v="58"/>
    <x v="58"/>
    <x v="24"/>
    <x v="1"/>
    <n v="8"/>
    <x v="7"/>
    <x v="38"/>
    <x v="51"/>
    <n v="48"/>
    <n v="3"/>
    <x v="2"/>
    <n v="9304"/>
    <x v="2"/>
    <x v="58"/>
    <x v="1"/>
  </r>
  <r>
    <x v="59"/>
    <x v="59"/>
    <x v="21"/>
    <x v="0"/>
    <n v="2"/>
    <x v="0"/>
    <x v="50"/>
    <x v="52"/>
    <n v="87"/>
    <n v="1"/>
    <x v="0"/>
    <n v="2201"/>
    <x v="0"/>
    <x v="59"/>
    <x v="1"/>
  </r>
  <r>
    <x v="60"/>
    <x v="60"/>
    <x v="40"/>
    <x v="1"/>
    <n v="6"/>
    <x v="1"/>
    <x v="51"/>
    <x v="53"/>
    <n v="5"/>
    <n v="3"/>
    <x v="2"/>
    <n v="5507"/>
    <x v="5"/>
    <x v="60"/>
    <x v="1"/>
  </r>
  <r>
    <x v="61"/>
    <x v="61"/>
    <x v="41"/>
    <x v="1"/>
    <n v="7"/>
    <x v="8"/>
    <x v="52"/>
    <x v="54"/>
    <n v="1"/>
    <n v="3"/>
    <x v="2"/>
    <n v="8456"/>
    <x v="3"/>
    <x v="61"/>
    <x v="1"/>
  </r>
  <r>
    <x v="62"/>
    <x v="62"/>
    <x v="7"/>
    <x v="1"/>
    <n v="2"/>
    <x v="0"/>
    <x v="53"/>
    <x v="55"/>
    <n v="6"/>
    <n v="1"/>
    <x v="0"/>
    <n v="6212"/>
    <x v="3"/>
    <x v="62"/>
    <x v="1"/>
  </r>
  <r>
    <x v="63"/>
    <x v="63"/>
    <x v="37"/>
    <x v="1"/>
    <n v="10"/>
    <x v="9"/>
    <x v="23"/>
    <x v="22"/>
    <n v="3"/>
    <n v="2"/>
    <x v="1"/>
    <n v="9833"/>
    <x v="1"/>
    <x v="63"/>
    <x v="1"/>
  </r>
  <r>
    <x v="64"/>
    <x v="64"/>
    <x v="42"/>
    <x v="0"/>
    <n v="2"/>
    <x v="0"/>
    <x v="47"/>
    <x v="48"/>
    <n v="7"/>
    <n v="2"/>
    <x v="1"/>
    <n v="7032"/>
    <x v="4"/>
    <x v="64"/>
    <x v="1"/>
  </r>
  <r>
    <x v="65"/>
    <x v="65"/>
    <x v="12"/>
    <x v="1"/>
    <n v="10"/>
    <x v="9"/>
    <x v="54"/>
    <x v="56"/>
    <n v="6"/>
    <n v="2"/>
    <x v="1"/>
    <n v="9970"/>
    <x v="1"/>
    <x v="65"/>
    <x v="1"/>
  </r>
  <r>
    <x v="66"/>
    <x v="66"/>
    <x v="17"/>
    <x v="0"/>
    <n v="1"/>
    <x v="5"/>
    <x v="55"/>
    <x v="57"/>
    <n v="49"/>
    <n v="1"/>
    <x v="0"/>
    <n v="2574"/>
    <x v="3"/>
    <x v="66"/>
    <x v="1"/>
  </r>
  <r>
    <x v="67"/>
    <x v="67"/>
    <x v="43"/>
    <x v="0"/>
    <n v="8"/>
    <x v="7"/>
    <x v="56"/>
    <x v="31"/>
    <n v="5"/>
    <n v="3"/>
    <x v="2"/>
    <n v="8387"/>
    <x v="5"/>
    <x v="67"/>
    <x v="1"/>
  </r>
  <r>
    <x v="68"/>
    <x v="68"/>
    <x v="29"/>
    <x v="0"/>
    <n v="1"/>
    <x v="5"/>
    <x v="57"/>
    <x v="51"/>
    <n v="7"/>
    <n v="2"/>
    <x v="1"/>
    <n v="2536"/>
    <x v="2"/>
    <x v="68"/>
    <x v="1"/>
  </r>
  <r>
    <x v="69"/>
    <x v="69"/>
    <x v="31"/>
    <x v="0"/>
    <n v="9"/>
    <x v="3"/>
    <x v="58"/>
    <x v="58"/>
    <n v="19"/>
    <n v="2"/>
    <x v="1"/>
    <n v="3625"/>
    <x v="2"/>
    <x v="69"/>
    <x v="1"/>
  </r>
  <r>
    <x v="70"/>
    <x v="70"/>
    <x v="21"/>
    <x v="1"/>
    <n v="6"/>
    <x v="1"/>
    <x v="59"/>
    <x v="59"/>
    <n v="8"/>
    <n v="1"/>
    <x v="0"/>
    <n v="4122"/>
    <x v="5"/>
    <x v="70"/>
    <x v="1"/>
  </r>
  <r>
    <x v="71"/>
    <x v="71"/>
    <x v="36"/>
    <x v="0"/>
    <n v="7"/>
    <x v="8"/>
    <x v="60"/>
    <x v="60"/>
    <n v="3"/>
    <n v="2"/>
    <x v="1"/>
    <n v="9973"/>
    <x v="3"/>
    <x v="71"/>
    <x v="1"/>
  </r>
  <r>
    <x v="72"/>
    <x v="72"/>
    <x v="18"/>
    <x v="0"/>
    <n v="10"/>
    <x v="9"/>
    <x v="61"/>
    <x v="61"/>
    <n v="4"/>
    <n v="1"/>
    <x v="0"/>
    <n v="2385"/>
    <x v="2"/>
    <x v="72"/>
    <x v="1"/>
  </r>
  <r>
    <x v="73"/>
    <x v="73"/>
    <x v="5"/>
    <x v="0"/>
    <n v="7"/>
    <x v="8"/>
    <x v="62"/>
    <x v="8"/>
    <n v="6"/>
    <n v="3"/>
    <x v="2"/>
    <n v="5281"/>
    <x v="2"/>
    <x v="73"/>
    <x v="1"/>
  </r>
  <r>
    <x v="74"/>
    <x v="74"/>
    <x v="31"/>
    <x v="1"/>
    <n v="10"/>
    <x v="9"/>
    <x v="63"/>
    <x v="62"/>
    <n v="2"/>
    <n v="1"/>
    <x v="0"/>
    <n v="2474"/>
    <x v="2"/>
    <x v="74"/>
    <x v="1"/>
  </r>
  <r>
    <x v="75"/>
    <x v="75"/>
    <x v="44"/>
    <x v="1"/>
    <n v="3"/>
    <x v="2"/>
    <x v="11"/>
    <x v="63"/>
    <n v="15"/>
    <n v="1"/>
    <x v="0"/>
    <n v="2417"/>
    <x v="4"/>
    <x v="75"/>
    <x v="1"/>
  </r>
  <r>
    <x v="76"/>
    <x v="76"/>
    <x v="40"/>
    <x v="1"/>
    <n v="2"/>
    <x v="0"/>
    <x v="64"/>
    <x v="64"/>
    <n v="2"/>
    <n v="1"/>
    <x v="0"/>
    <n v="8490"/>
    <x v="4"/>
    <x v="76"/>
    <x v="1"/>
  </r>
  <r>
    <x v="77"/>
    <x v="77"/>
    <x v="45"/>
    <x v="1"/>
    <n v="9"/>
    <x v="3"/>
    <x v="40"/>
    <x v="43"/>
    <n v="7"/>
    <n v="1"/>
    <x v="0"/>
    <n v="5600"/>
    <x v="0"/>
    <x v="77"/>
    <x v="1"/>
  </r>
  <r>
    <x v="78"/>
    <x v="78"/>
    <x v="13"/>
    <x v="0"/>
    <n v="8"/>
    <x v="7"/>
    <x v="41"/>
    <x v="65"/>
    <n v="132"/>
    <n v="3"/>
    <x v="2"/>
    <n v="8783"/>
    <x v="1"/>
    <x v="78"/>
    <x v="1"/>
  </r>
  <r>
    <x v="79"/>
    <x v="79"/>
    <x v="41"/>
    <x v="0"/>
    <n v="10"/>
    <x v="9"/>
    <x v="65"/>
    <x v="66"/>
    <n v="73"/>
    <n v="3"/>
    <x v="2"/>
    <n v="7034"/>
    <x v="5"/>
    <x v="79"/>
    <x v="1"/>
  </r>
  <r>
    <x v="80"/>
    <x v="80"/>
    <x v="14"/>
    <x v="1"/>
    <n v="7"/>
    <x v="8"/>
    <x v="66"/>
    <x v="22"/>
    <n v="9"/>
    <n v="2"/>
    <x v="1"/>
    <n v="2954"/>
    <x v="5"/>
    <x v="80"/>
    <x v="1"/>
  </r>
  <r>
    <x v="81"/>
    <x v="81"/>
    <x v="39"/>
    <x v="0"/>
    <n v="9"/>
    <x v="3"/>
    <x v="67"/>
    <x v="43"/>
    <n v="76"/>
    <n v="3"/>
    <x v="2"/>
    <n v="6971"/>
    <x v="5"/>
    <x v="81"/>
    <x v="1"/>
  </r>
  <r>
    <x v="82"/>
    <x v="82"/>
    <x v="17"/>
    <x v="0"/>
    <n v="4"/>
    <x v="4"/>
    <x v="68"/>
    <x v="67"/>
    <n v="2"/>
    <n v="3"/>
    <x v="2"/>
    <n v="6858"/>
    <x v="0"/>
    <x v="82"/>
    <x v="1"/>
  </r>
  <r>
    <x v="83"/>
    <x v="83"/>
    <x v="46"/>
    <x v="0"/>
    <n v="4"/>
    <x v="4"/>
    <x v="35"/>
    <x v="66"/>
    <n v="6"/>
    <n v="2"/>
    <x v="1"/>
    <n v="7298"/>
    <x v="4"/>
    <x v="83"/>
    <x v="1"/>
  </r>
  <r>
    <x v="84"/>
    <x v="84"/>
    <x v="47"/>
    <x v="1"/>
    <n v="1"/>
    <x v="5"/>
    <x v="69"/>
    <x v="21"/>
    <n v="6"/>
    <n v="3"/>
    <x v="2"/>
    <n v="3205"/>
    <x v="3"/>
    <x v="84"/>
    <x v="1"/>
  </r>
  <r>
    <x v="85"/>
    <x v="85"/>
    <x v="28"/>
    <x v="1"/>
    <n v="8"/>
    <x v="7"/>
    <x v="70"/>
    <x v="68"/>
    <n v="10"/>
    <n v="1"/>
    <x v="0"/>
    <n v="6759"/>
    <x v="3"/>
    <x v="85"/>
    <x v="1"/>
  </r>
  <r>
    <x v="86"/>
    <x v="86"/>
    <x v="39"/>
    <x v="0"/>
    <n v="3"/>
    <x v="2"/>
    <x v="71"/>
    <x v="15"/>
    <n v="5"/>
    <n v="1"/>
    <x v="0"/>
    <n v="6120"/>
    <x v="0"/>
    <x v="86"/>
    <x v="1"/>
  </r>
  <r>
    <x v="87"/>
    <x v="87"/>
    <x v="47"/>
    <x v="1"/>
    <n v="7"/>
    <x v="8"/>
    <x v="72"/>
    <x v="69"/>
    <n v="1"/>
    <n v="2"/>
    <x v="1"/>
    <n v="3990"/>
    <x v="3"/>
    <x v="87"/>
    <x v="1"/>
  </r>
  <r>
    <x v="88"/>
    <x v="88"/>
    <x v="2"/>
    <x v="1"/>
    <n v="2"/>
    <x v="0"/>
    <x v="73"/>
    <x v="70"/>
    <n v="108"/>
    <n v="2"/>
    <x v="1"/>
    <n v="7299"/>
    <x v="5"/>
    <x v="22"/>
    <x v="1"/>
  </r>
  <r>
    <x v="89"/>
    <x v="89"/>
    <x v="38"/>
    <x v="1"/>
    <n v="2"/>
    <x v="0"/>
    <x v="61"/>
    <x v="71"/>
    <n v="8"/>
    <n v="2"/>
    <x v="1"/>
    <n v="6805"/>
    <x v="1"/>
    <x v="88"/>
    <x v="1"/>
  </r>
  <r>
    <x v="90"/>
    <x v="90"/>
    <x v="42"/>
    <x v="1"/>
    <n v="7"/>
    <x v="8"/>
    <x v="74"/>
    <x v="54"/>
    <n v="119"/>
    <n v="1"/>
    <x v="0"/>
    <n v="5572"/>
    <x v="2"/>
    <x v="89"/>
    <x v="1"/>
  </r>
  <r>
    <x v="91"/>
    <x v="91"/>
    <x v="18"/>
    <x v="1"/>
    <n v="6"/>
    <x v="1"/>
    <x v="75"/>
    <x v="72"/>
    <n v="91"/>
    <n v="3"/>
    <x v="2"/>
    <n v="7975"/>
    <x v="4"/>
    <x v="90"/>
    <x v="1"/>
  </r>
  <r>
    <x v="92"/>
    <x v="92"/>
    <x v="48"/>
    <x v="0"/>
    <n v="3"/>
    <x v="2"/>
    <x v="76"/>
    <x v="21"/>
    <n v="9"/>
    <n v="1"/>
    <x v="0"/>
    <n v="7280"/>
    <x v="4"/>
    <x v="91"/>
    <x v="1"/>
  </r>
  <r>
    <x v="93"/>
    <x v="93"/>
    <x v="49"/>
    <x v="1"/>
    <n v="9"/>
    <x v="3"/>
    <x v="77"/>
    <x v="73"/>
    <n v="2"/>
    <n v="2"/>
    <x v="1"/>
    <n v="8320"/>
    <x v="0"/>
    <x v="14"/>
    <x v="1"/>
  </r>
  <r>
    <x v="94"/>
    <x v="94"/>
    <x v="13"/>
    <x v="0"/>
    <n v="10"/>
    <x v="9"/>
    <x v="45"/>
    <x v="74"/>
    <n v="21"/>
    <n v="3"/>
    <x v="2"/>
    <n v="6380"/>
    <x v="4"/>
    <x v="92"/>
    <x v="1"/>
  </r>
  <r>
    <x v="95"/>
    <x v="95"/>
    <x v="40"/>
    <x v="0"/>
    <n v="6"/>
    <x v="1"/>
    <x v="78"/>
    <x v="75"/>
    <n v="7"/>
    <n v="3"/>
    <x v="2"/>
    <n v="6158"/>
    <x v="5"/>
    <x v="93"/>
    <x v="1"/>
  </r>
  <r>
    <x v="96"/>
    <x v="96"/>
    <x v="50"/>
    <x v="1"/>
    <n v="10"/>
    <x v="9"/>
    <x v="56"/>
    <x v="23"/>
    <n v="44"/>
    <n v="1"/>
    <x v="0"/>
    <n v="7098"/>
    <x v="3"/>
    <x v="94"/>
    <x v="1"/>
  </r>
  <r>
    <x v="97"/>
    <x v="97"/>
    <x v="51"/>
    <x v="0"/>
    <n v="10"/>
    <x v="9"/>
    <x v="79"/>
    <x v="76"/>
    <n v="2"/>
    <n v="2"/>
    <x v="1"/>
    <n v="6757"/>
    <x v="5"/>
    <x v="95"/>
    <x v="1"/>
  </r>
  <r>
    <x v="98"/>
    <x v="98"/>
    <x v="3"/>
    <x v="0"/>
    <n v="6"/>
    <x v="1"/>
    <x v="34"/>
    <x v="65"/>
    <n v="55"/>
    <n v="1"/>
    <x v="0"/>
    <n v="4713"/>
    <x v="0"/>
    <x v="96"/>
    <x v="1"/>
  </r>
  <r>
    <x v="99"/>
    <x v="99"/>
    <x v="5"/>
    <x v="0"/>
    <n v="1"/>
    <x v="5"/>
    <x v="66"/>
    <x v="22"/>
    <n v="9"/>
    <n v="3"/>
    <x v="2"/>
    <n v="4203"/>
    <x v="5"/>
    <x v="97"/>
    <x v="1"/>
  </r>
  <r>
    <x v="100"/>
    <x v="100"/>
    <x v="40"/>
    <x v="1"/>
    <n v="4"/>
    <x v="4"/>
    <x v="80"/>
    <x v="65"/>
    <n v="70"/>
    <n v="1"/>
    <x v="0"/>
    <n v="7588"/>
    <x v="3"/>
    <x v="98"/>
    <x v="1"/>
  </r>
  <r>
    <x v="101"/>
    <x v="101"/>
    <x v="9"/>
    <x v="1"/>
    <n v="10"/>
    <x v="9"/>
    <x v="81"/>
    <x v="77"/>
    <n v="5"/>
    <n v="1"/>
    <x v="0"/>
    <n v="5120"/>
    <x v="1"/>
    <x v="99"/>
    <x v="1"/>
  </r>
  <r>
    <x v="102"/>
    <x v="102"/>
    <x v="21"/>
    <x v="0"/>
    <n v="6"/>
    <x v="1"/>
    <x v="82"/>
    <x v="15"/>
    <n v="10"/>
    <n v="2"/>
    <x v="1"/>
    <n v="2966"/>
    <x v="0"/>
    <x v="100"/>
    <x v="1"/>
  </r>
  <r>
    <x v="103"/>
    <x v="103"/>
    <x v="34"/>
    <x v="1"/>
    <n v="6"/>
    <x v="1"/>
    <x v="21"/>
    <x v="78"/>
    <n v="128"/>
    <n v="2"/>
    <x v="1"/>
    <n v="6944"/>
    <x v="1"/>
    <x v="35"/>
    <x v="1"/>
  </r>
  <r>
    <x v="104"/>
    <x v="104"/>
    <x v="14"/>
    <x v="1"/>
    <n v="5"/>
    <x v="6"/>
    <x v="83"/>
    <x v="79"/>
    <n v="32"/>
    <n v="3"/>
    <x v="2"/>
    <n v="7203"/>
    <x v="2"/>
    <x v="101"/>
    <x v="1"/>
  </r>
  <r>
    <x v="105"/>
    <x v="105"/>
    <x v="6"/>
    <x v="1"/>
    <n v="1"/>
    <x v="5"/>
    <x v="84"/>
    <x v="80"/>
    <n v="10"/>
    <n v="1"/>
    <x v="0"/>
    <n v="5432"/>
    <x v="1"/>
    <x v="102"/>
    <x v="1"/>
  </r>
  <r>
    <x v="106"/>
    <x v="106"/>
    <x v="30"/>
    <x v="1"/>
    <n v="8"/>
    <x v="7"/>
    <x v="36"/>
    <x v="81"/>
    <n v="168"/>
    <n v="1"/>
    <x v="0"/>
    <n v="2688"/>
    <x v="2"/>
    <x v="103"/>
    <x v="1"/>
  </r>
  <r>
    <x v="107"/>
    <x v="107"/>
    <x v="52"/>
    <x v="0"/>
    <n v="5"/>
    <x v="6"/>
    <x v="85"/>
    <x v="31"/>
    <n v="6"/>
    <n v="1"/>
    <x v="0"/>
    <n v="6243"/>
    <x v="2"/>
    <x v="104"/>
    <x v="1"/>
  </r>
  <r>
    <x v="108"/>
    <x v="108"/>
    <x v="38"/>
    <x v="0"/>
    <n v="5"/>
    <x v="6"/>
    <x v="59"/>
    <x v="82"/>
    <n v="10"/>
    <n v="3"/>
    <x v="2"/>
    <n v="5701"/>
    <x v="1"/>
    <x v="105"/>
    <x v="1"/>
  </r>
  <r>
    <x v="109"/>
    <x v="109"/>
    <x v="31"/>
    <x v="1"/>
    <n v="7"/>
    <x v="8"/>
    <x v="86"/>
    <x v="3"/>
    <n v="4"/>
    <n v="3"/>
    <x v="2"/>
    <n v="2341"/>
    <x v="0"/>
    <x v="106"/>
    <x v="1"/>
  </r>
  <r>
    <x v="110"/>
    <x v="110"/>
    <x v="12"/>
    <x v="1"/>
    <n v="4"/>
    <x v="4"/>
    <x v="1"/>
    <x v="42"/>
    <n v="66"/>
    <n v="2"/>
    <x v="1"/>
    <n v="8619"/>
    <x v="3"/>
    <x v="107"/>
    <x v="1"/>
  </r>
  <r>
    <x v="111"/>
    <x v="111"/>
    <x v="11"/>
    <x v="0"/>
    <n v="6"/>
    <x v="1"/>
    <x v="36"/>
    <x v="83"/>
    <n v="11"/>
    <n v="2"/>
    <x v="1"/>
    <n v="7182"/>
    <x v="5"/>
    <x v="108"/>
    <x v="1"/>
  </r>
  <r>
    <x v="112"/>
    <x v="112"/>
    <x v="42"/>
    <x v="0"/>
    <n v="4"/>
    <x v="4"/>
    <x v="55"/>
    <x v="84"/>
    <n v="2"/>
    <n v="2"/>
    <x v="1"/>
    <n v="3724"/>
    <x v="5"/>
    <x v="109"/>
    <x v="1"/>
  </r>
  <r>
    <x v="113"/>
    <x v="113"/>
    <x v="24"/>
    <x v="1"/>
    <n v="3"/>
    <x v="2"/>
    <x v="87"/>
    <x v="39"/>
    <n v="1"/>
    <n v="1"/>
    <x v="0"/>
    <n v="7479"/>
    <x v="3"/>
    <x v="110"/>
    <x v="1"/>
  </r>
  <r>
    <x v="114"/>
    <x v="114"/>
    <x v="21"/>
    <x v="0"/>
    <n v="7"/>
    <x v="8"/>
    <x v="88"/>
    <x v="69"/>
    <n v="6"/>
    <n v="1"/>
    <x v="0"/>
    <n v="8704"/>
    <x v="2"/>
    <x v="111"/>
    <x v="1"/>
  </r>
  <r>
    <x v="115"/>
    <x v="115"/>
    <x v="21"/>
    <x v="1"/>
    <n v="8"/>
    <x v="7"/>
    <x v="35"/>
    <x v="60"/>
    <n v="4"/>
    <n v="2"/>
    <x v="1"/>
    <n v="6422"/>
    <x v="2"/>
    <x v="112"/>
    <x v="1"/>
  </r>
  <r>
    <x v="116"/>
    <x v="116"/>
    <x v="21"/>
    <x v="1"/>
    <n v="4"/>
    <x v="4"/>
    <x v="87"/>
    <x v="85"/>
    <n v="5"/>
    <n v="1"/>
    <x v="0"/>
    <n v="3792"/>
    <x v="0"/>
    <x v="20"/>
    <x v="1"/>
  </r>
  <r>
    <x v="117"/>
    <x v="117"/>
    <x v="52"/>
    <x v="0"/>
    <n v="2"/>
    <x v="0"/>
    <x v="9"/>
    <x v="11"/>
    <n v="100"/>
    <n v="2"/>
    <x v="1"/>
    <n v="3759"/>
    <x v="4"/>
    <x v="113"/>
    <x v="1"/>
  </r>
  <r>
    <x v="118"/>
    <x v="118"/>
    <x v="53"/>
    <x v="0"/>
    <n v="10"/>
    <x v="9"/>
    <x v="89"/>
    <x v="86"/>
    <n v="2"/>
    <n v="3"/>
    <x v="2"/>
    <n v="5212"/>
    <x v="1"/>
    <x v="114"/>
    <x v="1"/>
  </r>
  <r>
    <x v="119"/>
    <x v="119"/>
    <x v="2"/>
    <x v="1"/>
    <n v="3"/>
    <x v="2"/>
    <x v="90"/>
    <x v="87"/>
    <n v="4"/>
    <n v="2"/>
    <x v="1"/>
    <n v="2989"/>
    <x v="2"/>
    <x v="115"/>
    <x v="1"/>
  </r>
  <r>
    <x v="120"/>
    <x v="120"/>
    <x v="3"/>
    <x v="1"/>
    <n v="1"/>
    <x v="5"/>
    <x v="91"/>
    <x v="15"/>
    <n v="15"/>
    <n v="3"/>
    <x v="2"/>
    <n v="4262"/>
    <x v="5"/>
    <x v="116"/>
    <x v="1"/>
  </r>
  <r>
    <x v="121"/>
    <x v="121"/>
    <x v="52"/>
    <x v="0"/>
    <n v="8"/>
    <x v="7"/>
    <x v="7"/>
    <x v="7"/>
    <n v="2"/>
    <n v="1"/>
    <x v="0"/>
    <n v="4482"/>
    <x v="0"/>
    <x v="117"/>
    <x v="1"/>
  </r>
  <r>
    <x v="122"/>
    <x v="122"/>
    <x v="54"/>
    <x v="1"/>
    <n v="3"/>
    <x v="2"/>
    <x v="59"/>
    <x v="21"/>
    <n v="7"/>
    <n v="2"/>
    <x v="1"/>
    <n v="2951"/>
    <x v="1"/>
    <x v="118"/>
    <x v="1"/>
  </r>
  <r>
    <x v="123"/>
    <x v="123"/>
    <x v="24"/>
    <x v="0"/>
    <n v="10"/>
    <x v="9"/>
    <x v="92"/>
    <x v="88"/>
    <n v="54"/>
    <n v="1"/>
    <x v="0"/>
    <n v="2722"/>
    <x v="0"/>
    <x v="119"/>
    <x v="1"/>
  </r>
  <r>
    <x v="124"/>
    <x v="124"/>
    <x v="36"/>
    <x v="1"/>
    <n v="7"/>
    <x v="8"/>
    <x v="93"/>
    <x v="89"/>
    <n v="5"/>
    <n v="3"/>
    <x v="2"/>
    <n v="5389"/>
    <x v="1"/>
    <x v="120"/>
    <x v="1"/>
  </r>
  <r>
    <x v="125"/>
    <x v="125"/>
    <x v="37"/>
    <x v="0"/>
    <n v="10"/>
    <x v="9"/>
    <x v="94"/>
    <x v="5"/>
    <n v="94"/>
    <n v="3"/>
    <x v="2"/>
    <n v="4079"/>
    <x v="1"/>
    <x v="121"/>
    <x v="1"/>
  </r>
  <r>
    <x v="126"/>
    <x v="126"/>
    <x v="11"/>
    <x v="0"/>
    <n v="5"/>
    <x v="6"/>
    <x v="26"/>
    <x v="45"/>
    <n v="8"/>
    <n v="3"/>
    <x v="2"/>
    <n v="4717"/>
    <x v="3"/>
    <x v="122"/>
    <x v="1"/>
  </r>
  <r>
    <x v="127"/>
    <x v="127"/>
    <x v="54"/>
    <x v="0"/>
    <n v="10"/>
    <x v="9"/>
    <x v="95"/>
    <x v="90"/>
    <n v="6"/>
    <n v="1"/>
    <x v="0"/>
    <n v="4332"/>
    <x v="2"/>
    <x v="123"/>
    <x v="1"/>
  </r>
  <r>
    <x v="128"/>
    <x v="128"/>
    <x v="18"/>
    <x v="1"/>
    <n v="5"/>
    <x v="6"/>
    <x v="96"/>
    <x v="78"/>
    <n v="108"/>
    <n v="1"/>
    <x v="0"/>
    <n v="5376"/>
    <x v="0"/>
    <x v="124"/>
    <x v="1"/>
  </r>
  <r>
    <x v="129"/>
    <x v="129"/>
    <x v="5"/>
    <x v="1"/>
    <n v="7"/>
    <x v="8"/>
    <x v="97"/>
    <x v="78"/>
    <n v="3"/>
    <n v="1"/>
    <x v="0"/>
    <n v="6524"/>
    <x v="0"/>
    <x v="125"/>
    <x v="1"/>
  </r>
  <r>
    <x v="130"/>
    <x v="130"/>
    <x v="11"/>
    <x v="0"/>
    <n v="9"/>
    <x v="3"/>
    <x v="77"/>
    <x v="91"/>
    <n v="6"/>
    <n v="1"/>
    <x v="0"/>
    <n v="3500"/>
    <x v="3"/>
    <x v="126"/>
    <x v="1"/>
  </r>
  <r>
    <x v="131"/>
    <x v="131"/>
    <x v="10"/>
    <x v="1"/>
    <n v="5"/>
    <x v="6"/>
    <x v="48"/>
    <x v="13"/>
    <n v="6"/>
    <n v="3"/>
    <x v="2"/>
    <n v="2285"/>
    <x v="5"/>
    <x v="127"/>
    <x v="1"/>
  </r>
  <r>
    <x v="132"/>
    <x v="132"/>
    <x v="32"/>
    <x v="0"/>
    <n v="1"/>
    <x v="5"/>
    <x v="98"/>
    <x v="10"/>
    <n v="4"/>
    <n v="3"/>
    <x v="2"/>
    <n v="9311"/>
    <x v="5"/>
    <x v="128"/>
    <x v="1"/>
  </r>
  <r>
    <x v="133"/>
    <x v="133"/>
    <x v="45"/>
    <x v="0"/>
    <n v="10"/>
    <x v="9"/>
    <x v="9"/>
    <x v="87"/>
    <n v="7"/>
    <n v="2"/>
    <x v="1"/>
    <n v="5495"/>
    <x v="2"/>
    <x v="129"/>
    <x v="1"/>
  </r>
  <r>
    <x v="134"/>
    <x v="134"/>
    <x v="5"/>
    <x v="1"/>
    <n v="10"/>
    <x v="9"/>
    <x v="99"/>
    <x v="92"/>
    <n v="59"/>
    <n v="2"/>
    <x v="1"/>
    <n v="9186"/>
    <x v="2"/>
    <x v="130"/>
    <x v="1"/>
  </r>
  <r>
    <x v="135"/>
    <x v="135"/>
    <x v="44"/>
    <x v="1"/>
    <n v="1"/>
    <x v="5"/>
    <x v="88"/>
    <x v="93"/>
    <n v="5"/>
    <n v="1"/>
    <x v="0"/>
    <n v="4065"/>
    <x v="4"/>
    <x v="131"/>
    <x v="1"/>
  </r>
  <r>
    <x v="136"/>
    <x v="136"/>
    <x v="44"/>
    <x v="0"/>
    <n v="2"/>
    <x v="0"/>
    <x v="100"/>
    <x v="19"/>
    <n v="2"/>
    <n v="3"/>
    <x v="2"/>
    <n v="2768"/>
    <x v="3"/>
    <x v="132"/>
    <x v="1"/>
  </r>
  <r>
    <x v="137"/>
    <x v="137"/>
    <x v="22"/>
    <x v="1"/>
    <n v="6"/>
    <x v="1"/>
    <x v="88"/>
    <x v="94"/>
    <n v="10"/>
    <n v="3"/>
    <x v="2"/>
    <n v="8733"/>
    <x v="5"/>
    <x v="133"/>
    <x v="1"/>
  </r>
  <r>
    <x v="138"/>
    <x v="138"/>
    <x v="27"/>
    <x v="1"/>
    <n v="9"/>
    <x v="3"/>
    <x v="90"/>
    <x v="95"/>
    <n v="9"/>
    <n v="3"/>
    <x v="2"/>
    <n v="7490"/>
    <x v="1"/>
    <x v="134"/>
    <x v="1"/>
  </r>
  <r>
    <x v="139"/>
    <x v="139"/>
    <x v="55"/>
    <x v="0"/>
    <n v="8"/>
    <x v="7"/>
    <x v="101"/>
    <x v="63"/>
    <n v="43"/>
    <n v="2"/>
    <x v="1"/>
    <n v="9342"/>
    <x v="0"/>
    <x v="135"/>
    <x v="1"/>
  </r>
  <r>
    <x v="140"/>
    <x v="140"/>
    <x v="28"/>
    <x v="0"/>
    <n v="5"/>
    <x v="6"/>
    <x v="102"/>
    <x v="24"/>
    <n v="3"/>
    <n v="2"/>
    <x v="1"/>
    <n v="5057"/>
    <x v="2"/>
    <x v="136"/>
    <x v="1"/>
  </r>
  <r>
    <x v="141"/>
    <x v="141"/>
    <x v="0"/>
    <x v="1"/>
    <n v="1"/>
    <x v="5"/>
    <x v="103"/>
    <x v="96"/>
    <n v="9"/>
    <n v="3"/>
    <x v="2"/>
    <n v="6289"/>
    <x v="0"/>
    <x v="137"/>
    <x v="1"/>
  </r>
  <r>
    <x v="142"/>
    <x v="142"/>
    <x v="7"/>
    <x v="0"/>
    <n v="7"/>
    <x v="8"/>
    <x v="104"/>
    <x v="30"/>
    <n v="4"/>
    <n v="3"/>
    <x v="2"/>
    <n v="8645"/>
    <x v="0"/>
    <x v="138"/>
    <x v="1"/>
  </r>
  <r>
    <x v="143"/>
    <x v="143"/>
    <x v="53"/>
    <x v="0"/>
    <n v="5"/>
    <x v="6"/>
    <x v="14"/>
    <x v="97"/>
    <n v="3"/>
    <n v="3"/>
    <x v="2"/>
    <n v="7083"/>
    <x v="4"/>
    <x v="139"/>
    <x v="1"/>
  </r>
  <r>
    <x v="144"/>
    <x v="144"/>
    <x v="29"/>
    <x v="1"/>
    <n v="6"/>
    <x v="1"/>
    <x v="39"/>
    <x v="4"/>
    <n v="8"/>
    <n v="2"/>
    <x v="1"/>
    <n v="7232"/>
    <x v="5"/>
    <x v="140"/>
    <x v="1"/>
  </r>
  <r>
    <x v="145"/>
    <x v="145"/>
    <x v="36"/>
    <x v="0"/>
    <n v="7"/>
    <x v="8"/>
    <x v="105"/>
    <x v="9"/>
    <n v="88"/>
    <n v="3"/>
    <x v="2"/>
    <n v="4161"/>
    <x v="2"/>
    <x v="141"/>
    <x v="1"/>
  </r>
  <r>
    <x v="146"/>
    <x v="146"/>
    <x v="37"/>
    <x v="0"/>
    <n v="3"/>
    <x v="2"/>
    <x v="64"/>
    <x v="98"/>
    <n v="43"/>
    <n v="3"/>
    <x v="2"/>
    <n v="5293"/>
    <x v="0"/>
    <x v="142"/>
    <x v="1"/>
  </r>
  <r>
    <x v="147"/>
    <x v="147"/>
    <x v="5"/>
    <x v="1"/>
    <n v="10"/>
    <x v="9"/>
    <x v="101"/>
    <x v="99"/>
    <n v="9"/>
    <n v="1"/>
    <x v="0"/>
    <n v="7797"/>
    <x v="2"/>
    <x v="23"/>
    <x v="1"/>
  </r>
  <r>
    <x v="148"/>
    <x v="148"/>
    <x v="23"/>
    <x v="1"/>
    <n v="3"/>
    <x v="2"/>
    <x v="106"/>
    <x v="89"/>
    <n v="87"/>
    <n v="1"/>
    <x v="0"/>
    <n v="2946"/>
    <x v="1"/>
    <x v="143"/>
    <x v="1"/>
  </r>
  <r>
    <x v="149"/>
    <x v="149"/>
    <x v="48"/>
    <x v="0"/>
    <n v="5"/>
    <x v="6"/>
    <x v="107"/>
    <x v="87"/>
    <n v="51"/>
    <n v="2"/>
    <x v="1"/>
    <n v="6926"/>
    <x v="4"/>
    <x v="144"/>
    <x v="1"/>
  </r>
  <r>
    <x v="150"/>
    <x v="150"/>
    <x v="22"/>
    <x v="0"/>
    <n v="6"/>
    <x v="1"/>
    <x v="108"/>
    <x v="86"/>
    <n v="7"/>
    <n v="3"/>
    <x v="2"/>
    <n v="9811"/>
    <x v="1"/>
    <x v="145"/>
    <x v="1"/>
  </r>
  <r>
    <x v="151"/>
    <x v="151"/>
    <x v="51"/>
    <x v="1"/>
    <n v="9"/>
    <x v="3"/>
    <x v="84"/>
    <x v="78"/>
    <n v="5"/>
    <n v="3"/>
    <x v="2"/>
    <n v="8016"/>
    <x v="2"/>
    <x v="146"/>
    <x v="1"/>
  </r>
  <r>
    <x v="152"/>
    <x v="152"/>
    <x v="33"/>
    <x v="1"/>
    <n v="5"/>
    <x v="6"/>
    <x v="92"/>
    <x v="46"/>
    <n v="86"/>
    <n v="1"/>
    <x v="0"/>
    <n v="5335"/>
    <x v="2"/>
    <x v="147"/>
    <x v="1"/>
  </r>
  <r>
    <x v="153"/>
    <x v="153"/>
    <x v="9"/>
    <x v="1"/>
    <n v="1"/>
    <x v="5"/>
    <x v="48"/>
    <x v="8"/>
    <n v="22"/>
    <n v="2"/>
    <x v="1"/>
    <n v="9068"/>
    <x v="5"/>
    <x v="148"/>
    <x v="1"/>
  </r>
  <r>
    <x v="154"/>
    <x v="154"/>
    <x v="11"/>
    <x v="1"/>
    <n v="4"/>
    <x v="4"/>
    <x v="109"/>
    <x v="100"/>
    <n v="64"/>
    <n v="1"/>
    <x v="0"/>
    <n v="6150"/>
    <x v="0"/>
    <x v="149"/>
    <x v="1"/>
  </r>
  <r>
    <x v="155"/>
    <x v="155"/>
    <x v="35"/>
    <x v="0"/>
    <n v="5"/>
    <x v="6"/>
    <x v="104"/>
    <x v="36"/>
    <n v="45"/>
    <n v="1"/>
    <x v="0"/>
    <n v="9810"/>
    <x v="0"/>
    <x v="150"/>
    <x v="1"/>
  </r>
  <r>
    <x v="156"/>
    <x v="156"/>
    <x v="44"/>
    <x v="1"/>
    <n v="10"/>
    <x v="9"/>
    <x v="110"/>
    <x v="101"/>
    <n v="20"/>
    <n v="1"/>
    <x v="0"/>
    <n v="6895"/>
    <x v="1"/>
    <x v="151"/>
    <x v="1"/>
  </r>
  <r>
    <x v="157"/>
    <x v="157"/>
    <x v="18"/>
    <x v="1"/>
    <n v="10"/>
    <x v="9"/>
    <x v="47"/>
    <x v="23"/>
    <n v="9"/>
    <n v="1"/>
    <x v="0"/>
    <n v="6873"/>
    <x v="4"/>
    <x v="152"/>
    <x v="1"/>
  </r>
  <r>
    <x v="158"/>
    <x v="158"/>
    <x v="14"/>
    <x v="0"/>
    <n v="5"/>
    <x v="6"/>
    <x v="25"/>
    <x v="54"/>
    <n v="112"/>
    <n v="3"/>
    <x v="2"/>
    <n v="3481"/>
    <x v="3"/>
    <x v="153"/>
    <x v="1"/>
  </r>
  <r>
    <x v="159"/>
    <x v="159"/>
    <x v="16"/>
    <x v="1"/>
    <n v="7"/>
    <x v="8"/>
    <x v="65"/>
    <x v="102"/>
    <n v="4"/>
    <n v="3"/>
    <x v="2"/>
    <n v="3901"/>
    <x v="0"/>
    <x v="154"/>
    <x v="1"/>
  </r>
  <r>
    <x v="160"/>
    <x v="160"/>
    <x v="26"/>
    <x v="0"/>
    <n v="4"/>
    <x v="4"/>
    <x v="111"/>
    <x v="103"/>
    <n v="6"/>
    <n v="1"/>
    <x v="0"/>
    <n v="8305"/>
    <x v="5"/>
    <x v="155"/>
    <x v="1"/>
  </r>
  <r>
    <x v="161"/>
    <x v="161"/>
    <x v="44"/>
    <x v="1"/>
    <n v="1"/>
    <x v="5"/>
    <x v="112"/>
    <x v="72"/>
    <n v="18"/>
    <n v="2"/>
    <x v="1"/>
    <n v="5451"/>
    <x v="1"/>
    <x v="156"/>
    <x v="1"/>
  </r>
  <r>
    <x v="162"/>
    <x v="162"/>
    <x v="54"/>
    <x v="1"/>
    <n v="5"/>
    <x v="6"/>
    <x v="18"/>
    <x v="47"/>
    <n v="8"/>
    <n v="2"/>
    <x v="1"/>
    <n v="6064"/>
    <x v="1"/>
    <x v="157"/>
    <x v="1"/>
  </r>
  <r>
    <x v="163"/>
    <x v="163"/>
    <x v="44"/>
    <x v="1"/>
    <n v="7"/>
    <x v="8"/>
    <x v="113"/>
    <x v="104"/>
    <n v="1"/>
    <n v="2"/>
    <x v="1"/>
    <n v="8230"/>
    <x v="3"/>
    <x v="158"/>
    <x v="1"/>
  </r>
  <r>
    <x v="164"/>
    <x v="164"/>
    <x v="35"/>
    <x v="0"/>
    <n v="10"/>
    <x v="9"/>
    <x v="48"/>
    <x v="45"/>
    <n v="4"/>
    <n v="2"/>
    <x v="1"/>
    <n v="2054"/>
    <x v="5"/>
    <x v="159"/>
    <x v="1"/>
  </r>
  <r>
    <x v="165"/>
    <x v="165"/>
    <x v="31"/>
    <x v="0"/>
    <n v="10"/>
    <x v="9"/>
    <x v="2"/>
    <x v="105"/>
    <n v="39"/>
    <n v="1"/>
    <x v="0"/>
    <n v="9643"/>
    <x v="4"/>
    <x v="160"/>
    <x v="1"/>
  </r>
  <r>
    <x v="166"/>
    <x v="166"/>
    <x v="40"/>
    <x v="1"/>
    <n v="6"/>
    <x v="1"/>
    <x v="61"/>
    <x v="54"/>
    <n v="2"/>
    <n v="3"/>
    <x v="2"/>
    <n v="3823"/>
    <x v="5"/>
    <x v="39"/>
    <x v="1"/>
  </r>
  <r>
    <x v="167"/>
    <x v="167"/>
    <x v="15"/>
    <x v="0"/>
    <n v="5"/>
    <x v="6"/>
    <x v="94"/>
    <x v="106"/>
    <n v="1"/>
    <n v="2"/>
    <x v="1"/>
    <n v="7297"/>
    <x v="4"/>
    <x v="161"/>
    <x v="1"/>
  </r>
  <r>
    <x v="168"/>
    <x v="168"/>
    <x v="54"/>
    <x v="0"/>
    <n v="4"/>
    <x v="4"/>
    <x v="14"/>
    <x v="6"/>
    <n v="6"/>
    <n v="1"/>
    <x v="0"/>
    <n v="5462"/>
    <x v="5"/>
    <x v="162"/>
    <x v="1"/>
  </r>
  <r>
    <x v="169"/>
    <x v="169"/>
    <x v="55"/>
    <x v="0"/>
    <n v="2"/>
    <x v="0"/>
    <x v="1"/>
    <x v="107"/>
    <n v="7"/>
    <n v="2"/>
    <x v="1"/>
    <n v="9516"/>
    <x v="5"/>
    <x v="163"/>
    <x v="1"/>
  </r>
  <r>
    <x v="170"/>
    <x v="170"/>
    <x v="42"/>
    <x v="0"/>
    <n v="4"/>
    <x v="4"/>
    <x v="78"/>
    <x v="65"/>
    <n v="5"/>
    <n v="2"/>
    <x v="1"/>
    <n v="5079"/>
    <x v="2"/>
    <x v="164"/>
    <x v="1"/>
  </r>
  <r>
    <x v="171"/>
    <x v="171"/>
    <x v="33"/>
    <x v="0"/>
    <n v="10"/>
    <x v="9"/>
    <x v="114"/>
    <x v="108"/>
    <n v="2"/>
    <n v="1"/>
    <x v="0"/>
    <n v="2832"/>
    <x v="1"/>
    <x v="165"/>
    <x v="1"/>
  </r>
  <r>
    <x v="172"/>
    <x v="172"/>
    <x v="40"/>
    <x v="0"/>
    <n v="10"/>
    <x v="9"/>
    <x v="72"/>
    <x v="28"/>
    <n v="4"/>
    <n v="3"/>
    <x v="2"/>
    <n v="6408"/>
    <x v="5"/>
    <x v="166"/>
    <x v="1"/>
  </r>
  <r>
    <x v="173"/>
    <x v="173"/>
    <x v="0"/>
    <x v="1"/>
    <n v="3"/>
    <x v="2"/>
    <x v="42"/>
    <x v="70"/>
    <n v="107"/>
    <n v="3"/>
    <x v="2"/>
    <n v="4806"/>
    <x v="3"/>
    <x v="167"/>
    <x v="1"/>
  </r>
  <r>
    <x v="174"/>
    <x v="174"/>
    <x v="26"/>
    <x v="1"/>
    <n v="10"/>
    <x v="9"/>
    <x v="17"/>
    <x v="109"/>
    <n v="10"/>
    <n v="1"/>
    <x v="0"/>
    <n v="7954"/>
    <x v="5"/>
    <x v="168"/>
    <x v="1"/>
  </r>
  <r>
    <x v="175"/>
    <x v="175"/>
    <x v="37"/>
    <x v="0"/>
    <n v="1"/>
    <x v="5"/>
    <x v="115"/>
    <x v="105"/>
    <n v="6"/>
    <n v="3"/>
    <x v="2"/>
    <n v="8103"/>
    <x v="0"/>
    <x v="169"/>
    <x v="1"/>
  </r>
  <r>
    <x v="176"/>
    <x v="176"/>
    <x v="3"/>
    <x v="1"/>
    <n v="8"/>
    <x v="7"/>
    <x v="116"/>
    <x v="90"/>
    <n v="4"/>
    <n v="1"/>
    <x v="0"/>
    <n v="8102"/>
    <x v="1"/>
    <x v="170"/>
    <x v="1"/>
  </r>
  <r>
    <x v="177"/>
    <x v="177"/>
    <x v="3"/>
    <x v="1"/>
    <n v="5"/>
    <x v="6"/>
    <x v="66"/>
    <x v="23"/>
    <n v="8"/>
    <n v="1"/>
    <x v="0"/>
    <n v="4490"/>
    <x v="0"/>
    <x v="171"/>
    <x v="1"/>
  </r>
  <r>
    <x v="178"/>
    <x v="178"/>
    <x v="42"/>
    <x v="1"/>
    <n v="4"/>
    <x v="4"/>
    <x v="97"/>
    <x v="73"/>
    <n v="7"/>
    <n v="1"/>
    <x v="0"/>
    <n v="7886"/>
    <x v="1"/>
    <x v="172"/>
    <x v="1"/>
  </r>
  <r>
    <x v="179"/>
    <x v="179"/>
    <x v="28"/>
    <x v="1"/>
    <n v="8"/>
    <x v="7"/>
    <x v="12"/>
    <x v="62"/>
    <n v="8"/>
    <n v="3"/>
    <x v="2"/>
    <n v="2327"/>
    <x v="0"/>
    <x v="173"/>
    <x v="1"/>
  </r>
  <r>
    <x v="180"/>
    <x v="180"/>
    <x v="21"/>
    <x v="0"/>
    <n v="7"/>
    <x v="8"/>
    <x v="35"/>
    <x v="66"/>
    <n v="6"/>
    <n v="1"/>
    <x v="0"/>
    <n v="9221"/>
    <x v="5"/>
    <x v="174"/>
    <x v="1"/>
  </r>
  <r>
    <x v="181"/>
    <x v="181"/>
    <x v="56"/>
    <x v="1"/>
    <n v="2"/>
    <x v="0"/>
    <x v="117"/>
    <x v="110"/>
    <n v="30"/>
    <n v="2"/>
    <x v="1"/>
    <n v="8904"/>
    <x v="5"/>
    <x v="61"/>
    <x v="1"/>
  </r>
  <r>
    <x v="182"/>
    <x v="182"/>
    <x v="32"/>
    <x v="1"/>
    <n v="1"/>
    <x v="5"/>
    <x v="118"/>
    <x v="100"/>
    <n v="83"/>
    <n v="3"/>
    <x v="2"/>
    <n v="5310"/>
    <x v="2"/>
    <x v="175"/>
    <x v="1"/>
  </r>
  <r>
    <x v="183"/>
    <x v="183"/>
    <x v="57"/>
    <x v="0"/>
    <n v="4"/>
    <x v="4"/>
    <x v="98"/>
    <x v="4"/>
    <n v="21"/>
    <n v="3"/>
    <x v="2"/>
    <n v="5300"/>
    <x v="3"/>
    <x v="176"/>
    <x v="1"/>
  </r>
  <r>
    <x v="184"/>
    <x v="184"/>
    <x v="0"/>
    <x v="0"/>
    <n v="8"/>
    <x v="7"/>
    <x v="119"/>
    <x v="72"/>
    <n v="38"/>
    <n v="3"/>
    <x v="2"/>
    <n v="8722"/>
    <x v="0"/>
    <x v="177"/>
    <x v="1"/>
  </r>
  <r>
    <x v="185"/>
    <x v="185"/>
    <x v="25"/>
    <x v="1"/>
    <n v="2"/>
    <x v="0"/>
    <x v="6"/>
    <x v="72"/>
    <n v="5"/>
    <n v="3"/>
    <x v="2"/>
    <n v="9218"/>
    <x v="4"/>
    <x v="178"/>
    <x v="1"/>
  </r>
  <r>
    <x v="186"/>
    <x v="186"/>
    <x v="1"/>
    <x v="1"/>
    <n v="3"/>
    <x v="2"/>
    <x v="101"/>
    <x v="77"/>
    <n v="3"/>
    <n v="2"/>
    <x v="1"/>
    <n v="9776"/>
    <x v="2"/>
    <x v="179"/>
    <x v="1"/>
  </r>
  <r>
    <x v="187"/>
    <x v="187"/>
    <x v="57"/>
    <x v="1"/>
    <n v="1"/>
    <x v="5"/>
    <x v="95"/>
    <x v="11"/>
    <n v="5"/>
    <n v="3"/>
    <x v="2"/>
    <n v="5675"/>
    <x v="0"/>
    <x v="180"/>
    <x v="1"/>
  </r>
  <r>
    <x v="188"/>
    <x v="188"/>
    <x v="39"/>
    <x v="1"/>
    <n v="1"/>
    <x v="5"/>
    <x v="120"/>
    <x v="111"/>
    <n v="7"/>
    <n v="3"/>
    <x v="2"/>
    <n v="5054"/>
    <x v="0"/>
    <x v="181"/>
    <x v="1"/>
  </r>
  <r>
    <x v="189"/>
    <x v="189"/>
    <x v="19"/>
    <x v="1"/>
    <n v="3"/>
    <x v="2"/>
    <x v="96"/>
    <x v="82"/>
    <n v="121"/>
    <n v="1"/>
    <x v="0"/>
    <n v="7383"/>
    <x v="2"/>
    <x v="182"/>
    <x v="1"/>
  </r>
  <r>
    <x v="190"/>
    <x v="190"/>
    <x v="35"/>
    <x v="1"/>
    <n v="5"/>
    <x v="6"/>
    <x v="29"/>
    <x v="30"/>
    <n v="92"/>
    <n v="3"/>
    <x v="2"/>
    <n v="9585"/>
    <x v="5"/>
    <x v="36"/>
    <x v="1"/>
  </r>
  <r>
    <x v="191"/>
    <x v="191"/>
    <x v="9"/>
    <x v="0"/>
    <n v="3"/>
    <x v="2"/>
    <x v="56"/>
    <x v="52"/>
    <n v="3"/>
    <n v="2"/>
    <x v="1"/>
    <n v="9970"/>
    <x v="0"/>
    <x v="183"/>
    <x v="1"/>
  </r>
  <r>
    <x v="192"/>
    <x v="192"/>
    <x v="0"/>
    <x v="1"/>
    <n v="1"/>
    <x v="5"/>
    <x v="74"/>
    <x v="112"/>
    <n v="46"/>
    <n v="2"/>
    <x v="1"/>
    <n v="4143"/>
    <x v="5"/>
    <x v="184"/>
    <x v="1"/>
  </r>
  <r>
    <x v="193"/>
    <x v="193"/>
    <x v="52"/>
    <x v="1"/>
    <n v="1"/>
    <x v="5"/>
    <x v="121"/>
    <x v="93"/>
    <n v="59"/>
    <n v="2"/>
    <x v="1"/>
    <n v="7207"/>
    <x v="2"/>
    <x v="185"/>
    <x v="1"/>
  </r>
  <r>
    <x v="194"/>
    <x v="194"/>
    <x v="3"/>
    <x v="0"/>
    <n v="8"/>
    <x v="7"/>
    <x v="122"/>
    <x v="113"/>
    <n v="77"/>
    <n v="2"/>
    <x v="1"/>
    <n v="9245"/>
    <x v="5"/>
    <x v="186"/>
    <x v="1"/>
  </r>
  <r>
    <x v="195"/>
    <x v="195"/>
    <x v="4"/>
    <x v="0"/>
    <n v="10"/>
    <x v="9"/>
    <x v="104"/>
    <x v="30"/>
    <n v="4"/>
    <n v="3"/>
    <x v="2"/>
    <n v="3311"/>
    <x v="1"/>
    <x v="187"/>
    <x v="1"/>
  </r>
  <r>
    <x v="196"/>
    <x v="196"/>
    <x v="2"/>
    <x v="0"/>
    <n v="2"/>
    <x v="0"/>
    <x v="79"/>
    <x v="98"/>
    <n v="124"/>
    <n v="3"/>
    <x v="2"/>
    <n v="5191"/>
    <x v="4"/>
    <x v="188"/>
    <x v="1"/>
  </r>
  <r>
    <x v="197"/>
    <x v="197"/>
    <x v="13"/>
    <x v="0"/>
    <n v="3"/>
    <x v="2"/>
    <x v="64"/>
    <x v="4"/>
    <n v="9"/>
    <n v="2"/>
    <x v="1"/>
    <n v="8957"/>
    <x v="0"/>
    <x v="189"/>
    <x v="1"/>
  </r>
  <r>
    <x v="198"/>
    <x v="198"/>
    <x v="56"/>
    <x v="1"/>
    <n v="2"/>
    <x v="0"/>
    <x v="19"/>
    <x v="5"/>
    <n v="9"/>
    <n v="2"/>
    <x v="1"/>
    <n v="4538"/>
    <x v="3"/>
    <x v="190"/>
    <x v="1"/>
  </r>
  <r>
    <x v="199"/>
    <x v="199"/>
    <x v="57"/>
    <x v="1"/>
    <n v="3"/>
    <x v="2"/>
    <x v="123"/>
    <x v="114"/>
    <n v="57"/>
    <n v="3"/>
    <x v="2"/>
    <n v="5983"/>
    <x v="4"/>
    <x v="19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2D565D-329D-4942-9520-8E84FC7FEF35}" name="PivotTable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6:D7" firstHeaderRow="0" firstDataRow="1" firstDataCol="0"/>
  <pivotFields count="15">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dataField="1" showAll="0">
      <items count="201">
        <item x="24"/>
        <item x="173"/>
        <item x="94"/>
        <item x="135"/>
        <item x="122"/>
        <item x="97"/>
        <item x="193"/>
        <item x="106"/>
        <item x="160"/>
        <item x="34"/>
        <item x="111"/>
        <item x="93"/>
        <item x="115"/>
        <item x="120"/>
        <item x="54"/>
        <item x="108"/>
        <item x="9"/>
        <item x="187"/>
        <item x="35"/>
        <item x="41"/>
        <item x="87"/>
        <item x="104"/>
        <item x="26"/>
        <item x="27"/>
        <item x="134"/>
        <item x="30"/>
        <item x="53"/>
        <item x="46"/>
        <item x="125"/>
        <item x="10"/>
        <item x="47"/>
        <item x="197"/>
        <item x="130"/>
        <item x="18"/>
        <item x="131"/>
        <item x="88"/>
        <item x="58"/>
        <item x="133"/>
        <item x="99"/>
        <item x="13"/>
        <item x="67"/>
        <item x="178"/>
        <item x="190"/>
        <item x="113"/>
        <item x="44"/>
        <item x="96"/>
        <item x="198"/>
        <item x="196"/>
        <item x="151"/>
        <item x="144"/>
        <item x="118"/>
        <item x="0"/>
        <item x="138"/>
        <item x="22"/>
        <item x="81"/>
        <item x="191"/>
        <item x="167"/>
        <item x="180"/>
        <item x="2"/>
        <item x="199"/>
        <item x="169"/>
        <item x="147"/>
        <item x="55"/>
        <item x="4"/>
        <item x="29"/>
        <item x="103"/>
        <item x="123"/>
        <item x="124"/>
        <item x="90"/>
        <item x="188"/>
        <item x="69"/>
        <item x="183"/>
        <item x="7"/>
        <item x="146"/>
        <item x="60"/>
        <item x="62"/>
        <item x="84"/>
        <item x="8"/>
        <item x="149"/>
        <item x="114"/>
        <item x="92"/>
        <item x="121"/>
        <item x="176"/>
        <item x="17"/>
        <item x="145"/>
        <item x="137"/>
        <item x="1"/>
        <item x="161"/>
        <item x="70"/>
        <item x="174"/>
        <item x="194"/>
        <item x="23"/>
        <item x="102"/>
        <item x="136"/>
        <item x="19"/>
        <item x="126"/>
        <item x="95"/>
        <item x="75"/>
        <item x="158"/>
        <item x="91"/>
        <item x="56"/>
        <item x="148"/>
        <item x="28"/>
        <item x="49"/>
        <item x="79"/>
        <item x="43"/>
        <item x="100"/>
        <item x="112"/>
        <item x="85"/>
        <item x="14"/>
        <item x="171"/>
        <item x="12"/>
        <item x="142"/>
        <item x="181"/>
        <item x="159"/>
        <item x="189"/>
        <item x="64"/>
        <item x="83"/>
        <item x="128"/>
        <item x="48"/>
        <item x="3"/>
        <item x="184"/>
        <item x="98"/>
        <item x="172"/>
        <item x="50"/>
        <item x="132"/>
        <item x="38"/>
        <item x="78"/>
        <item x="5"/>
        <item x="74"/>
        <item x="185"/>
        <item x="51"/>
        <item x="164"/>
        <item x="32"/>
        <item x="36"/>
        <item x="110"/>
        <item x="45"/>
        <item x="153"/>
        <item x="127"/>
        <item x="105"/>
        <item x="150"/>
        <item x="192"/>
        <item x="117"/>
        <item x="20"/>
        <item x="42"/>
        <item x="179"/>
        <item x="39"/>
        <item x="15"/>
        <item x="86"/>
        <item x="52"/>
        <item x="109"/>
        <item x="63"/>
        <item x="139"/>
        <item x="165"/>
        <item x="175"/>
        <item x="177"/>
        <item x="129"/>
        <item x="72"/>
        <item x="155"/>
        <item x="40"/>
        <item x="107"/>
        <item x="57"/>
        <item x="186"/>
        <item x="37"/>
        <item x="163"/>
        <item x="16"/>
        <item x="61"/>
        <item x="25"/>
        <item x="119"/>
        <item x="77"/>
        <item x="116"/>
        <item x="80"/>
        <item x="166"/>
        <item x="182"/>
        <item x="157"/>
        <item x="71"/>
        <item x="162"/>
        <item x="168"/>
        <item x="195"/>
        <item x="6"/>
        <item x="66"/>
        <item x="11"/>
        <item x="89"/>
        <item x="68"/>
        <item x="33"/>
        <item x="59"/>
        <item x="152"/>
        <item x="82"/>
        <item x="170"/>
        <item x="65"/>
        <item x="31"/>
        <item x="21"/>
        <item x="154"/>
        <item x="141"/>
        <item x="156"/>
        <item x="101"/>
        <item x="140"/>
        <item x="73"/>
        <item x="143"/>
        <item x="76"/>
        <item t="default"/>
      </items>
    </pivotField>
    <pivotField dataField="1" showAll="0">
      <items count="59">
        <item x="54"/>
        <item x="17"/>
        <item x="15"/>
        <item x="39"/>
        <item x="55"/>
        <item x="46"/>
        <item x="36"/>
        <item x="5"/>
        <item x="37"/>
        <item x="49"/>
        <item x="10"/>
        <item x="23"/>
        <item x="56"/>
        <item x="40"/>
        <item x="3"/>
        <item x="30"/>
        <item x="45"/>
        <item x="38"/>
        <item x="8"/>
        <item x="43"/>
        <item x="6"/>
        <item x="16"/>
        <item x="9"/>
        <item x="11"/>
        <item x="24"/>
        <item x="42"/>
        <item x="26"/>
        <item x="29"/>
        <item x="2"/>
        <item x="19"/>
        <item x="50"/>
        <item x="57"/>
        <item x="22"/>
        <item x="48"/>
        <item x="44"/>
        <item x="13"/>
        <item x="35"/>
        <item x="20"/>
        <item x="0"/>
        <item x="14"/>
        <item x="53"/>
        <item x="28"/>
        <item x="4"/>
        <item x="18"/>
        <item x="52"/>
        <item x="31"/>
        <item x="51"/>
        <item x="25"/>
        <item x="41"/>
        <item x="32"/>
        <item x="1"/>
        <item x="12"/>
        <item x="47"/>
        <item x="33"/>
        <item x="34"/>
        <item x="7"/>
        <item x="27"/>
        <item x="21"/>
        <item t="default"/>
      </items>
    </pivotField>
    <pivotField showAll="0">
      <items count="3">
        <item x="1"/>
        <item x="0"/>
        <item t="default"/>
      </items>
    </pivotField>
    <pivotField showAll="0"/>
    <pivotField showAll="0"/>
    <pivotField numFmtId="14" showAll="0"/>
    <pivotField numFmtId="14" showAll="0"/>
    <pivotField numFmtId="1" showAll="0"/>
    <pivotField showAll="0"/>
    <pivotField showAll="0">
      <items count="4">
        <item x="1"/>
        <item h="1" x="2"/>
        <item h="1" x="0"/>
        <item t="default"/>
      </items>
    </pivotField>
    <pivotField dataField="1" showAll="0"/>
    <pivotField showAll="0">
      <items count="7">
        <item x="0"/>
        <item x="2"/>
        <item x="1"/>
        <item x="3"/>
        <item x="4"/>
        <item x="5"/>
        <item t="default"/>
      </items>
    </pivotField>
    <pivotField showAll="0">
      <items count="193">
        <item x="12"/>
        <item x="123"/>
        <item x="105"/>
        <item x="46"/>
        <item x="45"/>
        <item x="3"/>
        <item x="176"/>
        <item x="77"/>
        <item x="140"/>
        <item x="90"/>
        <item x="128"/>
        <item x="113"/>
        <item x="185"/>
        <item x="38"/>
        <item x="142"/>
        <item x="158"/>
        <item x="100"/>
        <item x="34"/>
        <item x="31"/>
        <item x="175"/>
        <item x="106"/>
        <item x="129"/>
        <item x="149"/>
        <item x="157"/>
        <item x="60"/>
        <item x="126"/>
        <item x="28"/>
        <item x="137"/>
        <item x="115"/>
        <item x="21"/>
        <item x="94"/>
        <item x="95"/>
        <item x="5"/>
        <item x="43"/>
        <item x="89"/>
        <item x="131"/>
        <item x="118"/>
        <item x="65"/>
        <item x="0"/>
        <item x="160"/>
        <item x="8"/>
        <item x="56"/>
        <item x="136"/>
        <item x="164"/>
        <item x="83"/>
        <item x="174"/>
        <item x="135"/>
        <item x="98"/>
        <item x="76"/>
        <item x="161"/>
        <item x="59"/>
        <item x="170"/>
        <item x="75"/>
        <item x="116"/>
        <item x="159"/>
        <item x="177"/>
        <item x="17"/>
        <item x="101"/>
        <item x="63"/>
        <item x="52"/>
        <item x="71"/>
        <item x="13"/>
        <item x="110"/>
        <item x="32"/>
        <item x="103"/>
        <item x="47"/>
        <item x="124"/>
        <item x="6"/>
        <item x="163"/>
        <item x="147"/>
        <item x="25"/>
        <item x="36"/>
        <item x="127"/>
        <item x="79"/>
        <item x="183"/>
        <item x="107"/>
        <item x="130"/>
        <item x="70"/>
        <item x="73"/>
        <item x="68"/>
        <item x="182"/>
        <item x="54"/>
        <item x="97"/>
        <item x="66"/>
        <item x="188"/>
        <item x="51"/>
        <item x="55"/>
        <item x="153"/>
        <item x="104"/>
        <item x="178"/>
        <item x="81"/>
        <item x="108"/>
        <item x="114"/>
        <item x="93"/>
        <item x="190"/>
        <item x="48"/>
        <item x="99"/>
        <item x="167"/>
        <item x="119"/>
        <item x="11"/>
        <item x="125"/>
        <item x="155"/>
        <item x="19"/>
        <item x="23"/>
        <item x="151"/>
        <item x="168"/>
        <item x="122"/>
        <item x="132"/>
        <item x="187"/>
        <item x="35"/>
        <item x="109"/>
        <item x="14"/>
        <item x="120"/>
        <item x="37"/>
        <item x="88"/>
        <item x="16"/>
        <item x="26"/>
        <item x="18"/>
        <item x="138"/>
        <item x="69"/>
        <item x="154"/>
        <item x="173"/>
        <item x="78"/>
        <item x="62"/>
        <item x="166"/>
        <item x="61"/>
        <item x="50"/>
        <item x="96"/>
        <item x="30"/>
        <item x="133"/>
        <item x="58"/>
        <item x="111"/>
        <item x="121"/>
        <item x="139"/>
        <item x="33"/>
        <item x="143"/>
        <item x="145"/>
        <item x="169"/>
        <item x="189"/>
        <item x="180"/>
        <item x="156"/>
        <item x="181"/>
        <item x="7"/>
        <item x="42"/>
        <item x="44"/>
        <item x="22"/>
        <item x="49"/>
        <item x="86"/>
        <item x="85"/>
        <item x="20"/>
        <item x="165"/>
        <item x="57"/>
        <item x="92"/>
        <item x="102"/>
        <item x="134"/>
        <item x="146"/>
        <item x="148"/>
        <item x="152"/>
        <item x="9"/>
        <item x="4"/>
        <item x="10"/>
        <item x="87"/>
        <item x="112"/>
        <item x="80"/>
        <item x="186"/>
        <item x="179"/>
        <item x="84"/>
        <item x="144"/>
        <item x="39"/>
        <item x="2"/>
        <item x="191"/>
        <item x="1"/>
        <item x="74"/>
        <item x="150"/>
        <item x="91"/>
        <item x="27"/>
        <item x="141"/>
        <item x="29"/>
        <item x="67"/>
        <item x="64"/>
        <item x="24"/>
        <item x="82"/>
        <item x="41"/>
        <item x="40"/>
        <item x="172"/>
        <item x="162"/>
        <item x="15"/>
        <item x="72"/>
        <item x="117"/>
        <item x="184"/>
        <item x="171"/>
        <item x="53"/>
        <item t="default"/>
      </items>
    </pivotField>
    <pivotField showAll="0"/>
  </pivotFields>
  <rowItems count="1">
    <i/>
  </rowItems>
  <colFields count="1">
    <field x="-2"/>
  </colFields>
  <colItems count="3">
    <i>
      <x/>
    </i>
    <i i="1">
      <x v="1"/>
    </i>
    <i i="2">
      <x v="2"/>
    </i>
  </colItems>
  <dataFields count="3">
    <dataField name="Count of Name" fld="1" subtotal="count" baseField="0" baseItem="0"/>
    <dataField name="Average of Age" fld="2" subtotal="average" baseField="10" baseItem="0"/>
    <dataField name="Sum of TreatmentCost" fld="11"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61D0FA-09BE-499E-9DA4-90B0FD39A1C7}"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10:F14" firstHeaderRow="1" firstDataRow="2" firstDataCol="1"/>
  <pivotFields count="15">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dataField="1" showAll="0">
      <items count="201">
        <item x="24"/>
        <item x="173"/>
        <item x="94"/>
        <item x="135"/>
        <item x="122"/>
        <item x="97"/>
        <item x="193"/>
        <item x="106"/>
        <item x="160"/>
        <item x="34"/>
        <item x="111"/>
        <item x="93"/>
        <item x="115"/>
        <item x="120"/>
        <item x="54"/>
        <item x="108"/>
        <item x="9"/>
        <item x="187"/>
        <item x="35"/>
        <item x="41"/>
        <item x="87"/>
        <item x="104"/>
        <item x="26"/>
        <item x="27"/>
        <item x="134"/>
        <item x="30"/>
        <item x="53"/>
        <item x="46"/>
        <item x="125"/>
        <item x="10"/>
        <item x="47"/>
        <item x="197"/>
        <item x="130"/>
        <item x="18"/>
        <item x="131"/>
        <item x="88"/>
        <item x="58"/>
        <item x="133"/>
        <item x="99"/>
        <item x="13"/>
        <item x="67"/>
        <item x="178"/>
        <item x="190"/>
        <item x="113"/>
        <item x="44"/>
        <item x="96"/>
        <item x="198"/>
        <item x="196"/>
        <item x="151"/>
        <item x="144"/>
        <item x="118"/>
        <item x="0"/>
        <item x="138"/>
        <item x="22"/>
        <item x="81"/>
        <item x="191"/>
        <item x="167"/>
        <item x="180"/>
        <item x="2"/>
        <item x="199"/>
        <item x="169"/>
        <item x="147"/>
        <item x="55"/>
        <item x="4"/>
        <item x="29"/>
        <item x="103"/>
        <item x="123"/>
        <item x="124"/>
        <item x="90"/>
        <item x="188"/>
        <item x="69"/>
        <item x="183"/>
        <item x="7"/>
        <item x="146"/>
        <item x="60"/>
        <item x="62"/>
        <item x="84"/>
        <item x="8"/>
        <item x="149"/>
        <item x="114"/>
        <item x="92"/>
        <item x="121"/>
        <item x="176"/>
        <item x="17"/>
        <item x="145"/>
        <item x="137"/>
        <item x="1"/>
        <item x="161"/>
        <item x="70"/>
        <item x="174"/>
        <item x="194"/>
        <item x="23"/>
        <item x="102"/>
        <item x="136"/>
        <item x="19"/>
        <item x="126"/>
        <item x="95"/>
        <item x="75"/>
        <item x="158"/>
        <item x="91"/>
        <item x="56"/>
        <item x="148"/>
        <item x="28"/>
        <item x="49"/>
        <item x="79"/>
        <item x="43"/>
        <item x="100"/>
        <item x="112"/>
        <item x="85"/>
        <item x="14"/>
        <item x="171"/>
        <item x="12"/>
        <item x="142"/>
        <item x="181"/>
        <item x="159"/>
        <item x="189"/>
        <item x="64"/>
        <item x="83"/>
        <item x="128"/>
        <item x="48"/>
        <item x="3"/>
        <item x="184"/>
        <item x="98"/>
        <item x="172"/>
        <item x="50"/>
        <item x="132"/>
        <item x="38"/>
        <item x="78"/>
        <item x="5"/>
        <item x="74"/>
        <item x="185"/>
        <item x="51"/>
        <item x="164"/>
        <item x="32"/>
        <item x="36"/>
        <item x="110"/>
        <item x="45"/>
        <item x="153"/>
        <item x="127"/>
        <item x="105"/>
        <item x="150"/>
        <item x="192"/>
        <item x="117"/>
        <item x="20"/>
        <item x="42"/>
        <item x="179"/>
        <item x="39"/>
        <item x="15"/>
        <item x="86"/>
        <item x="52"/>
        <item x="109"/>
        <item x="63"/>
        <item x="139"/>
        <item x="165"/>
        <item x="175"/>
        <item x="177"/>
        <item x="129"/>
        <item x="72"/>
        <item x="155"/>
        <item x="40"/>
        <item x="107"/>
        <item x="57"/>
        <item x="186"/>
        <item x="37"/>
        <item x="163"/>
        <item x="16"/>
        <item x="61"/>
        <item x="25"/>
        <item x="119"/>
        <item x="77"/>
        <item x="116"/>
        <item x="80"/>
        <item x="166"/>
        <item x="182"/>
        <item x="157"/>
        <item x="71"/>
        <item x="162"/>
        <item x="168"/>
        <item x="195"/>
        <item x="6"/>
        <item x="66"/>
        <item x="11"/>
        <item x="89"/>
        <item x="68"/>
        <item x="33"/>
        <item x="59"/>
        <item x="152"/>
        <item x="82"/>
        <item x="170"/>
        <item x="65"/>
        <item x="31"/>
        <item x="21"/>
        <item x="154"/>
        <item x="141"/>
        <item x="156"/>
        <item x="101"/>
        <item x="140"/>
        <item x="73"/>
        <item x="143"/>
        <item x="76"/>
        <item t="default"/>
      </items>
    </pivotField>
    <pivotField showAll="0"/>
    <pivotField axis="axisRow" showAll="0">
      <items count="3">
        <item x="1"/>
        <item x="0"/>
        <item t="default"/>
      </items>
    </pivotField>
    <pivotField showAll="0"/>
    <pivotField showAll="0"/>
    <pivotField numFmtId="14" showAll="0"/>
    <pivotField numFmtId="14" showAll="0"/>
    <pivotField numFmtId="1" showAll="0"/>
    <pivotField showAll="0"/>
    <pivotField axis="axisCol" showAll="0">
      <items count="4">
        <item x="1"/>
        <item x="2"/>
        <item x="0"/>
        <item t="default"/>
      </items>
    </pivotField>
    <pivotField showAll="0"/>
    <pivotField showAll="0">
      <items count="7">
        <item x="0"/>
        <item x="2"/>
        <item x="1"/>
        <item x="3"/>
        <item x="4"/>
        <item x="5"/>
        <item t="default"/>
      </items>
    </pivotField>
    <pivotField showAll="0">
      <items count="193">
        <item x="12"/>
        <item x="123"/>
        <item x="105"/>
        <item x="46"/>
        <item x="45"/>
        <item x="3"/>
        <item x="176"/>
        <item x="77"/>
        <item x="140"/>
        <item x="90"/>
        <item x="128"/>
        <item x="113"/>
        <item x="185"/>
        <item x="38"/>
        <item x="142"/>
        <item x="158"/>
        <item x="100"/>
        <item x="34"/>
        <item x="31"/>
        <item x="175"/>
        <item x="106"/>
        <item x="129"/>
        <item x="149"/>
        <item x="157"/>
        <item x="60"/>
        <item x="126"/>
        <item x="28"/>
        <item x="137"/>
        <item x="115"/>
        <item x="21"/>
        <item x="94"/>
        <item x="95"/>
        <item x="5"/>
        <item x="43"/>
        <item x="89"/>
        <item x="131"/>
        <item x="118"/>
        <item x="65"/>
        <item x="0"/>
        <item x="160"/>
        <item x="8"/>
        <item x="56"/>
        <item x="136"/>
        <item x="164"/>
        <item x="83"/>
        <item x="174"/>
        <item x="135"/>
        <item x="98"/>
        <item x="76"/>
        <item x="161"/>
        <item x="59"/>
        <item x="170"/>
        <item x="75"/>
        <item x="116"/>
        <item x="159"/>
        <item x="177"/>
        <item x="17"/>
        <item x="101"/>
        <item x="63"/>
        <item x="52"/>
        <item x="71"/>
        <item x="13"/>
        <item x="110"/>
        <item x="32"/>
        <item x="103"/>
        <item x="47"/>
        <item x="124"/>
        <item x="6"/>
        <item x="163"/>
        <item x="147"/>
        <item x="25"/>
        <item x="36"/>
        <item x="127"/>
        <item x="79"/>
        <item x="183"/>
        <item x="107"/>
        <item x="130"/>
        <item x="70"/>
        <item x="73"/>
        <item x="68"/>
        <item x="182"/>
        <item x="54"/>
        <item x="97"/>
        <item x="66"/>
        <item x="188"/>
        <item x="51"/>
        <item x="55"/>
        <item x="153"/>
        <item x="104"/>
        <item x="178"/>
        <item x="81"/>
        <item x="108"/>
        <item x="114"/>
        <item x="93"/>
        <item x="190"/>
        <item x="48"/>
        <item x="99"/>
        <item x="167"/>
        <item x="119"/>
        <item x="11"/>
        <item x="125"/>
        <item x="155"/>
        <item x="19"/>
        <item x="23"/>
        <item x="151"/>
        <item x="168"/>
        <item x="122"/>
        <item x="132"/>
        <item x="187"/>
        <item x="35"/>
        <item x="109"/>
        <item x="14"/>
        <item x="120"/>
        <item x="37"/>
        <item x="88"/>
        <item x="16"/>
        <item x="26"/>
        <item x="18"/>
        <item x="138"/>
        <item x="69"/>
        <item x="154"/>
        <item x="173"/>
        <item x="78"/>
        <item x="62"/>
        <item x="166"/>
        <item x="61"/>
        <item x="50"/>
        <item x="96"/>
        <item x="30"/>
        <item x="133"/>
        <item x="58"/>
        <item x="111"/>
        <item x="121"/>
        <item x="139"/>
        <item x="33"/>
        <item x="143"/>
        <item x="145"/>
        <item x="169"/>
        <item x="189"/>
        <item x="180"/>
        <item x="156"/>
        <item x="181"/>
        <item x="7"/>
        <item x="42"/>
        <item x="44"/>
        <item x="22"/>
        <item x="49"/>
        <item x="86"/>
        <item x="85"/>
        <item x="20"/>
        <item x="165"/>
        <item x="57"/>
        <item x="92"/>
        <item x="102"/>
        <item x="134"/>
        <item x="146"/>
        <item x="148"/>
        <item x="152"/>
        <item x="9"/>
        <item x="4"/>
        <item x="10"/>
        <item x="87"/>
        <item x="112"/>
        <item x="80"/>
        <item x="186"/>
        <item x="179"/>
        <item x="84"/>
        <item x="144"/>
        <item x="39"/>
        <item x="2"/>
        <item x="191"/>
        <item x="1"/>
        <item x="74"/>
        <item x="150"/>
        <item x="91"/>
        <item x="27"/>
        <item x="141"/>
        <item x="29"/>
        <item x="67"/>
        <item x="64"/>
        <item x="24"/>
        <item x="82"/>
        <item x="41"/>
        <item x="40"/>
        <item x="172"/>
        <item x="162"/>
        <item x="15"/>
        <item x="72"/>
        <item x="117"/>
        <item x="184"/>
        <item x="171"/>
        <item x="53"/>
        <item t="default"/>
      </items>
    </pivotField>
    <pivotField showAll="0"/>
  </pivotFields>
  <rowFields count="1">
    <field x="3"/>
  </rowFields>
  <rowItems count="3">
    <i>
      <x/>
    </i>
    <i>
      <x v="1"/>
    </i>
    <i t="grand">
      <x/>
    </i>
  </rowItems>
  <colFields count="1">
    <field x="10"/>
  </colFields>
  <colItems count="4">
    <i>
      <x/>
    </i>
    <i>
      <x v="1"/>
    </i>
    <i>
      <x v="2"/>
    </i>
    <i t="grand">
      <x/>
    </i>
  </colItems>
  <dataFields count="1">
    <dataField name="Count of Name" fld="1" subtotal="count" baseField="0" baseItem="0"/>
  </dataFields>
  <chartFormats count="6">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3" format="6" series="1">
      <pivotArea type="data" outline="0" fieldPosition="0">
        <references count="2">
          <reference field="4294967294" count="1" selected="0">
            <x v="0"/>
          </reference>
          <reference field="10" count="1" selected="0">
            <x v="0"/>
          </reference>
        </references>
      </pivotArea>
    </chartFormat>
    <chartFormat chart="3" format="7" series="1">
      <pivotArea type="data" outline="0" fieldPosition="0">
        <references count="2">
          <reference field="4294967294" count="1" selected="0">
            <x v="0"/>
          </reference>
          <reference field="10" count="1" selected="0">
            <x v="1"/>
          </reference>
        </references>
      </pivotArea>
    </chartFormat>
    <chartFormat chart="3"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341068-E6ED-4565-9ED7-33B4270A3287}"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N10:O21" firstHeaderRow="1" firstDataRow="1" firstDataCol="1"/>
  <pivotFields count="15">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items count="201">
        <item x="24"/>
        <item x="173"/>
        <item x="94"/>
        <item x="135"/>
        <item x="122"/>
        <item x="97"/>
        <item x="193"/>
        <item x="106"/>
        <item x="160"/>
        <item x="34"/>
        <item x="111"/>
        <item x="93"/>
        <item x="115"/>
        <item x="120"/>
        <item x="54"/>
        <item x="108"/>
        <item x="9"/>
        <item x="187"/>
        <item x="35"/>
        <item x="41"/>
        <item x="87"/>
        <item x="104"/>
        <item x="26"/>
        <item x="27"/>
        <item x="134"/>
        <item x="30"/>
        <item x="53"/>
        <item x="46"/>
        <item x="125"/>
        <item x="10"/>
        <item x="47"/>
        <item x="197"/>
        <item x="130"/>
        <item x="18"/>
        <item x="131"/>
        <item x="88"/>
        <item x="58"/>
        <item x="133"/>
        <item x="99"/>
        <item x="13"/>
        <item x="67"/>
        <item x="178"/>
        <item x="190"/>
        <item x="113"/>
        <item x="44"/>
        <item x="96"/>
        <item x="198"/>
        <item x="196"/>
        <item x="151"/>
        <item x="144"/>
        <item x="118"/>
        <item x="0"/>
        <item x="138"/>
        <item x="22"/>
        <item x="81"/>
        <item x="191"/>
        <item x="167"/>
        <item x="180"/>
        <item x="2"/>
        <item x="199"/>
        <item x="169"/>
        <item x="147"/>
        <item x="55"/>
        <item x="4"/>
        <item x="29"/>
        <item x="103"/>
        <item x="123"/>
        <item x="124"/>
        <item x="90"/>
        <item x="188"/>
        <item x="69"/>
        <item x="183"/>
        <item x="7"/>
        <item x="146"/>
        <item x="60"/>
        <item x="62"/>
        <item x="84"/>
        <item x="8"/>
        <item x="149"/>
        <item x="114"/>
        <item x="92"/>
        <item x="121"/>
        <item x="176"/>
        <item x="17"/>
        <item x="145"/>
        <item x="137"/>
        <item x="1"/>
        <item x="161"/>
        <item x="70"/>
        <item x="174"/>
        <item x="194"/>
        <item x="23"/>
        <item x="102"/>
        <item x="136"/>
        <item x="19"/>
        <item x="126"/>
        <item x="95"/>
        <item x="75"/>
        <item x="158"/>
        <item x="91"/>
        <item x="56"/>
        <item x="148"/>
        <item x="28"/>
        <item x="49"/>
        <item x="79"/>
        <item x="43"/>
        <item x="100"/>
        <item x="112"/>
        <item x="85"/>
        <item x="14"/>
        <item x="171"/>
        <item x="12"/>
        <item x="142"/>
        <item x="181"/>
        <item x="159"/>
        <item x="189"/>
        <item x="64"/>
        <item x="83"/>
        <item x="128"/>
        <item x="48"/>
        <item x="3"/>
        <item x="184"/>
        <item x="98"/>
        <item x="172"/>
        <item x="50"/>
        <item x="132"/>
        <item x="38"/>
        <item x="78"/>
        <item x="5"/>
        <item x="74"/>
        <item x="185"/>
        <item x="51"/>
        <item x="164"/>
        <item x="32"/>
        <item x="36"/>
        <item x="110"/>
        <item x="45"/>
        <item x="153"/>
        <item x="127"/>
        <item x="105"/>
        <item x="150"/>
        <item x="192"/>
        <item x="117"/>
        <item x="20"/>
        <item x="42"/>
        <item x="179"/>
        <item x="39"/>
        <item x="15"/>
        <item x="86"/>
        <item x="52"/>
        <item x="109"/>
        <item x="63"/>
        <item x="139"/>
        <item x="165"/>
        <item x="175"/>
        <item x="177"/>
        <item x="129"/>
        <item x="72"/>
        <item x="155"/>
        <item x="40"/>
        <item x="107"/>
        <item x="57"/>
        <item x="186"/>
        <item x="37"/>
        <item x="163"/>
        <item x="16"/>
        <item x="61"/>
        <item x="25"/>
        <item x="119"/>
        <item x="77"/>
        <item x="116"/>
        <item x="80"/>
        <item x="166"/>
        <item x="182"/>
        <item x="157"/>
        <item x="71"/>
        <item x="162"/>
        <item x="168"/>
        <item x="195"/>
        <item x="6"/>
        <item x="66"/>
        <item x="11"/>
        <item x="89"/>
        <item x="68"/>
        <item x="33"/>
        <item x="59"/>
        <item x="152"/>
        <item x="82"/>
        <item x="170"/>
        <item x="65"/>
        <item x="31"/>
        <item x="21"/>
        <item x="154"/>
        <item x="141"/>
        <item x="156"/>
        <item x="101"/>
        <item x="140"/>
        <item x="73"/>
        <item x="143"/>
        <item x="76"/>
        <item t="default"/>
      </items>
    </pivotField>
    <pivotField showAll="0">
      <items count="59">
        <item x="54"/>
        <item x="17"/>
        <item x="15"/>
        <item x="39"/>
        <item x="55"/>
        <item x="46"/>
        <item x="36"/>
        <item x="5"/>
        <item x="37"/>
        <item x="49"/>
        <item x="10"/>
        <item x="23"/>
        <item x="56"/>
        <item x="40"/>
        <item x="3"/>
        <item x="30"/>
        <item x="45"/>
        <item x="38"/>
        <item x="8"/>
        <item x="43"/>
        <item x="6"/>
        <item x="16"/>
        <item x="9"/>
        <item x="11"/>
        <item x="24"/>
        <item x="42"/>
        <item x="26"/>
        <item x="29"/>
        <item x="2"/>
        <item x="19"/>
        <item x="50"/>
        <item x="57"/>
        <item x="22"/>
        <item x="48"/>
        <item x="44"/>
        <item x="13"/>
        <item x="35"/>
        <item x="20"/>
        <item x="0"/>
        <item x="14"/>
        <item x="53"/>
        <item x="28"/>
        <item x="4"/>
        <item x="18"/>
        <item x="52"/>
        <item x="31"/>
        <item x="51"/>
        <item x="25"/>
        <item x="41"/>
        <item x="32"/>
        <item x="1"/>
        <item x="12"/>
        <item x="47"/>
        <item x="33"/>
        <item x="34"/>
        <item x="7"/>
        <item x="27"/>
        <item x="21"/>
        <item t="default"/>
      </items>
    </pivotField>
    <pivotField showAll="0">
      <items count="3">
        <item x="1"/>
        <item x="0"/>
        <item t="default"/>
      </items>
    </pivotField>
    <pivotField showAll="0"/>
    <pivotField axis="axisRow" showAll="0" sortType="descending">
      <items count="11">
        <item x="7"/>
        <item x="4"/>
        <item x="8"/>
        <item x="1"/>
        <item x="0"/>
        <item x="2"/>
        <item x="5"/>
        <item x="3"/>
        <item x="9"/>
        <item x="6"/>
        <item t="default"/>
      </items>
      <autoSortScope>
        <pivotArea dataOnly="0" outline="0" fieldPosition="0">
          <references count="1">
            <reference field="4294967294" count="1" selected="0">
              <x v="0"/>
            </reference>
          </references>
        </pivotArea>
      </autoSortScope>
    </pivotField>
    <pivotField numFmtId="14" showAll="0"/>
    <pivotField numFmtId="14" showAll="0"/>
    <pivotField numFmtId="1" showAll="0"/>
    <pivotField showAll="0"/>
    <pivotField showAll="0">
      <items count="4">
        <item x="1"/>
        <item x="2"/>
        <item x="0"/>
        <item t="default"/>
      </items>
    </pivotField>
    <pivotField dataField="1" showAll="0"/>
    <pivotField showAll="0">
      <items count="7">
        <item x="0"/>
        <item x="2"/>
        <item x="1"/>
        <item x="3"/>
        <item x="4"/>
        <item x="5"/>
        <item t="default"/>
      </items>
    </pivotField>
    <pivotField showAll="0">
      <items count="193">
        <item x="12"/>
        <item x="123"/>
        <item x="105"/>
        <item x="46"/>
        <item x="45"/>
        <item x="3"/>
        <item x="176"/>
        <item x="77"/>
        <item x="140"/>
        <item x="90"/>
        <item x="128"/>
        <item x="113"/>
        <item x="185"/>
        <item x="38"/>
        <item x="142"/>
        <item x="158"/>
        <item x="100"/>
        <item x="34"/>
        <item x="31"/>
        <item x="175"/>
        <item x="106"/>
        <item x="129"/>
        <item x="149"/>
        <item x="157"/>
        <item x="60"/>
        <item x="126"/>
        <item x="28"/>
        <item x="137"/>
        <item x="115"/>
        <item x="21"/>
        <item x="94"/>
        <item x="95"/>
        <item x="5"/>
        <item x="43"/>
        <item x="89"/>
        <item x="131"/>
        <item x="118"/>
        <item x="65"/>
        <item x="0"/>
        <item x="160"/>
        <item x="8"/>
        <item x="56"/>
        <item x="136"/>
        <item x="164"/>
        <item x="83"/>
        <item x="174"/>
        <item x="135"/>
        <item x="98"/>
        <item x="76"/>
        <item x="161"/>
        <item x="59"/>
        <item x="170"/>
        <item x="75"/>
        <item x="116"/>
        <item x="159"/>
        <item x="177"/>
        <item x="17"/>
        <item x="101"/>
        <item x="63"/>
        <item x="52"/>
        <item x="71"/>
        <item x="13"/>
        <item x="110"/>
        <item x="32"/>
        <item x="103"/>
        <item x="47"/>
        <item x="124"/>
        <item x="6"/>
        <item x="163"/>
        <item x="147"/>
        <item x="25"/>
        <item x="36"/>
        <item x="127"/>
        <item x="79"/>
        <item x="183"/>
        <item x="107"/>
        <item x="130"/>
        <item x="70"/>
        <item x="73"/>
        <item x="68"/>
        <item x="182"/>
        <item x="54"/>
        <item x="97"/>
        <item x="66"/>
        <item x="188"/>
        <item x="51"/>
        <item x="55"/>
        <item x="153"/>
        <item x="104"/>
        <item x="178"/>
        <item x="81"/>
        <item x="108"/>
        <item x="114"/>
        <item x="93"/>
        <item x="190"/>
        <item x="48"/>
        <item x="99"/>
        <item x="167"/>
        <item x="119"/>
        <item x="11"/>
        <item x="125"/>
        <item x="155"/>
        <item x="19"/>
        <item x="23"/>
        <item x="151"/>
        <item x="168"/>
        <item x="122"/>
        <item x="132"/>
        <item x="187"/>
        <item x="35"/>
        <item x="109"/>
        <item x="14"/>
        <item x="120"/>
        <item x="37"/>
        <item x="88"/>
        <item x="16"/>
        <item x="26"/>
        <item x="18"/>
        <item x="138"/>
        <item x="69"/>
        <item x="154"/>
        <item x="173"/>
        <item x="78"/>
        <item x="62"/>
        <item x="166"/>
        <item x="61"/>
        <item x="50"/>
        <item x="96"/>
        <item x="30"/>
        <item x="133"/>
        <item x="58"/>
        <item x="111"/>
        <item x="121"/>
        <item x="139"/>
        <item x="33"/>
        <item x="143"/>
        <item x="145"/>
        <item x="169"/>
        <item x="189"/>
        <item x="180"/>
        <item x="156"/>
        <item x="181"/>
        <item x="7"/>
        <item x="42"/>
        <item x="44"/>
        <item x="22"/>
        <item x="49"/>
        <item x="86"/>
        <item x="85"/>
        <item x="20"/>
        <item x="165"/>
        <item x="57"/>
        <item x="92"/>
        <item x="102"/>
        <item x="134"/>
        <item x="146"/>
        <item x="148"/>
        <item x="152"/>
        <item x="9"/>
        <item x="4"/>
        <item x="10"/>
        <item x="87"/>
        <item x="112"/>
        <item x="80"/>
        <item x="186"/>
        <item x="179"/>
        <item x="84"/>
        <item x="144"/>
        <item x="39"/>
        <item x="2"/>
        <item x="191"/>
        <item x="1"/>
        <item x="74"/>
        <item x="150"/>
        <item x="91"/>
        <item x="27"/>
        <item x="141"/>
        <item x="29"/>
        <item x="67"/>
        <item x="64"/>
        <item x="24"/>
        <item x="82"/>
        <item x="41"/>
        <item x="40"/>
        <item x="172"/>
        <item x="162"/>
        <item x="15"/>
        <item x="72"/>
        <item x="117"/>
        <item x="184"/>
        <item x="171"/>
        <item x="53"/>
        <item t="default"/>
      </items>
    </pivotField>
    <pivotField showAll="0"/>
  </pivotFields>
  <rowFields count="1">
    <field x="5"/>
  </rowFields>
  <rowItems count="11">
    <i>
      <x/>
    </i>
    <i>
      <x v="7"/>
    </i>
    <i>
      <x v="9"/>
    </i>
    <i>
      <x v="5"/>
    </i>
    <i>
      <x v="2"/>
    </i>
    <i>
      <x v="4"/>
    </i>
    <i>
      <x v="1"/>
    </i>
    <i>
      <x v="8"/>
    </i>
    <i>
      <x v="6"/>
    </i>
    <i>
      <x v="3"/>
    </i>
    <i t="grand">
      <x/>
    </i>
  </rowItems>
  <colItems count="1">
    <i/>
  </colItems>
  <dataFields count="1">
    <dataField name="Average of TreatmentCost" fld="11" subtotal="average" baseField="10" baseItem="0"/>
  </dataFields>
  <formats count="1">
    <format dxfId="14">
      <pivotArea collapsedLevelsAreSubtotals="1" fieldPosition="0">
        <references count="1">
          <reference field="5" count="0"/>
        </references>
      </pivotArea>
    </format>
  </formats>
  <chartFormats count="1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5" count="1" selected="0">
            <x v="3"/>
          </reference>
        </references>
      </pivotArea>
    </chartFormat>
    <chartFormat chart="7" format="4">
      <pivotArea type="data" outline="0" fieldPosition="0">
        <references count="2">
          <reference field="4294967294" count="1" selected="0">
            <x v="0"/>
          </reference>
          <reference field="5" count="1" selected="0">
            <x v="0"/>
          </reference>
        </references>
      </pivotArea>
    </chartFormat>
    <chartFormat chart="7" format="5">
      <pivotArea type="data" outline="0" fieldPosition="0">
        <references count="2">
          <reference field="4294967294" count="1" selected="0">
            <x v="0"/>
          </reference>
          <reference field="5" count="1" selected="0">
            <x v="5"/>
          </reference>
        </references>
      </pivotArea>
    </chartFormat>
    <chartFormat chart="7" format="6">
      <pivotArea type="data" outline="0" fieldPosition="0">
        <references count="2">
          <reference field="4294967294" count="1" selected="0">
            <x v="0"/>
          </reference>
          <reference field="5" count="1" selected="0">
            <x v="9"/>
          </reference>
        </references>
      </pivotArea>
    </chartFormat>
    <chartFormat chart="7" format="7">
      <pivotArea type="data" outline="0" fieldPosition="0">
        <references count="2">
          <reference field="4294967294" count="1" selected="0">
            <x v="0"/>
          </reference>
          <reference field="5" count="1" selected="0">
            <x v="7"/>
          </reference>
        </references>
      </pivotArea>
    </chartFormat>
    <chartFormat chart="7" format="8">
      <pivotArea type="data" outline="0" fieldPosition="0">
        <references count="2">
          <reference field="4294967294" count="1" selected="0">
            <x v="0"/>
          </reference>
          <reference field="5" count="1" selected="0">
            <x v="4"/>
          </reference>
        </references>
      </pivotArea>
    </chartFormat>
    <chartFormat chart="7" format="9">
      <pivotArea type="data" outline="0" fieldPosition="0">
        <references count="2">
          <reference field="4294967294" count="1" selected="0">
            <x v="0"/>
          </reference>
          <reference field="5" count="1" selected="0">
            <x v="2"/>
          </reference>
        </references>
      </pivotArea>
    </chartFormat>
    <chartFormat chart="7" format="10">
      <pivotArea type="data" outline="0" fieldPosition="0">
        <references count="2">
          <reference field="4294967294" count="1" selected="0">
            <x v="0"/>
          </reference>
          <reference field="5" count="1" selected="0">
            <x v="1"/>
          </reference>
        </references>
      </pivotArea>
    </chartFormat>
    <chartFormat chart="7" format="11">
      <pivotArea type="data" outline="0" fieldPosition="0">
        <references count="2">
          <reference field="4294967294" count="1" selected="0">
            <x v="0"/>
          </reference>
          <reference field="5" count="1" selected="0">
            <x v="8"/>
          </reference>
        </references>
      </pivotArea>
    </chartFormat>
    <chartFormat chart="7" format="12">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C359E6-5F54-4BCD-BBB5-2AF9F2C15844}"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10:I14" firstHeaderRow="1" firstDataRow="1" firstDataCol="1"/>
  <pivotFields count="15">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dataField="1" showAll="0">
      <items count="201">
        <item x="24"/>
        <item x="173"/>
        <item x="94"/>
        <item x="135"/>
        <item x="122"/>
        <item x="97"/>
        <item x="193"/>
        <item x="106"/>
        <item x="160"/>
        <item x="34"/>
        <item x="111"/>
        <item x="93"/>
        <item x="115"/>
        <item x="120"/>
        <item x="54"/>
        <item x="108"/>
        <item x="9"/>
        <item x="187"/>
        <item x="35"/>
        <item x="41"/>
        <item x="87"/>
        <item x="104"/>
        <item x="26"/>
        <item x="27"/>
        <item x="134"/>
        <item x="30"/>
        <item x="53"/>
        <item x="46"/>
        <item x="125"/>
        <item x="10"/>
        <item x="47"/>
        <item x="197"/>
        <item x="130"/>
        <item x="18"/>
        <item x="131"/>
        <item x="88"/>
        <item x="58"/>
        <item x="133"/>
        <item x="99"/>
        <item x="13"/>
        <item x="67"/>
        <item x="178"/>
        <item x="190"/>
        <item x="113"/>
        <item x="44"/>
        <item x="96"/>
        <item x="198"/>
        <item x="196"/>
        <item x="151"/>
        <item x="144"/>
        <item x="118"/>
        <item x="0"/>
        <item x="138"/>
        <item x="22"/>
        <item x="81"/>
        <item x="191"/>
        <item x="167"/>
        <item x="180"/>
        <item x="2"/>
        <item x="199"/>
        <item x="169"/>
        <item x="147"/>
        <item x="55"/>
        <item x="4"/>
        <item x="29"/>
        <item x="103"/>
        <item x="123"/>
        <item x="124"/>
        <item x="90"/>
        <item x="188"/>
        <item x="69"/>
        <item x="183"/>
        <item x="7"/>
        <item x="146"/>
        <item x="60"/>
        <item x="62"/>
        <item x="84"/>
        <item x="8"/>
        <item x="149"/>
        <item x="114"/>
        <item x="92"/>
        <item x="121"/>
        <item x="176"/>
        <item x="17"/>
        <item x="145"/>
        <item x="137"/>
        <item x="1"/>
        <item x="161"/>
        <item x="70"/>
        <item x="174"/>
        <item x="194"/>
        <item x="23"/>
        <item x="102"/>
        <item x="136"/>
        <item x="19"/>
        <item x="126"/>
        <item x="95"/>
        <item x="75"/>
        <item x="158"/>
        <item x="91"/>
        <item x="56"/>
        <item x="148"/>
        <item x="28"/>
        <item x="49"/>
        <item x="79"/>
        <item x="43"/>
        <item x="100"/>
        <item x="112"/>
        <item x="85"/>
        <item x="14"/>
        <item x="171"/>
        <item x="12"/>
        <item x="142"/>
        <item x="181"/>
        <item x="159"/>
        <item x="189"/>
        <item x="64"/>
        <item x="83"/>
        <item x="128"/>
        <item x="48"/>
        <item x="3"/>
        <item x="184"/>
        <item x="98"/>
        <item x="172"/>
        <item x="50"/>
        <item x="132"/>
        <item x="38"/>
        <item x="78"/>
        <item x="5"/>
        <item x="74"/>
        <item x="185"/>
        <item x="51"/>
        <item x="164"/>
        <item x="32"/>
        <item x="36"/>
        <item x="110"/>
        <item x="45"/>
        <item x="153"/>
        <item x="127"/>
        <item x="105"/>
        <item x="150"/>
        <item x="192"/>
        <item x="117"/>
        <item x="20"/>
        <item x="42"/>
        <item x="179"/>
        <item x="39"/>
        <item x="15"/>
        <item x="86"/>
        <item x="52"/>
        <item x="109"/>
        <item x="63"/>
        <item x="139"/>
        <item x="165"/>
        <item x="175"/>
        <item x="177"/>
        <item x="129"/>
        <item x="72"/>
        <item x="155"/>
        <item x="40"/>
        <item x="107"/>
        <item x="57"/>
        <item x="186"/>
        <item x="37"/>
        <item x="163"/>
        <item x="16"/>
        <item x="61"/>
        <item x="25"/>
        <item x="119"/>
        <item x="77"/>
        <item x="116"/>
        <item x="80"/>
        <item x="166"/>
        <item x="182"/>
        <item x="157"/>
        <item x="71"/>
        <item x="162"/>
        <item x="168"/>
        <item x="195"/>
        <item x="6"/>
        <item x="66"/>
        <item x="11"/>
        <item x="89"/>
        <item x="68"/>
        <item x="33"/>
        <item x="59"/>
        <item x="152"/>
        <item x="82"/>
        <item x="170"/>
        <item x="65"/>
        <item x="31"/>
        <item x="21"/>
        <item x="154"/>
        <item x="141"/>
        <item x="156"/>
        <item x="101"/>
        <item x="140"/>
        <item x="73"/>
        <item x="143"/>
        <item x="76"/>
        <item t="default"/>
      </items>
    </pivotField>
    <pivotField showAll="0">
      <items count="59">
        <item x="54"/>
        <item x="17"/>
        <item x="15"/>
        <item x="39"/>
        <item x="55"/>
        <item x="46"/>
        <item x="36"/>
        <item x="5"/>
        <item x="37"/>
        <item x="49"/>
        <item x="10"/>
        <item x="23"/>
        <item x="56"/>
        <item x="40"/>
        <item x="3"/>
        <item x="30"/>
        <item x="45"/>
        <item x="38"/>
        <item x="8"/>
        <item x="43"/>
        <item x="6"/>
        <item x="16"/>
        <item x="9"/>
        <item x="11"/>
        <item x="24"/>
        <item x="42"/>
        <item x="26"/>
        <item x="29"/>
        <item x="2"/>
        <item x="19"/>
        <item x="50"/>
        <item x="57"/>
        <item x="22"/>
        <item x="48"/>
        <item x="44"/>
        <item x="13"/>
        <item x="35"/>
        <item x="20"/>
        <item x="0"/>
        <item x="14"/>
        <item x="53"/>
        <item x="28"/>
        <item x="4"/>
        <item x="18"/>
        <item x="52"/>
        <item x="31"/>
        <item x="51"/>
        <item x="25"/>
        <item x="41"/>
        <item x="32"/>
        <item x="1"/>
        <item x="12"/>
        <item x="47"/>
        <item x="33"/>
        <item x="34"/>
        <item x="7"/>
        <item x="27"/>
        <item x="21"/>
        <item t="default"/>
      </items>
    </pivotField>
    <pivotField showAll="0">
      <items count="3">
        <item x="1"/>
        <item x="0"/>
        <item t="default"/>
      </items>
    </pivotField>
    <pivotField showAll="0"/>
    <pivotField showAll="0"/>
    <pivotField numFmtId="14" showAll="0"/>
    <pivotField numFmtId="14" showAll="0"/>
    <pivotField numFmtId="1" showAll="0"/>
    <pivotField showAll="0"/>
    <pivotField axis="axisRow" showAll="0">
      <items count="4">
        <item x="1"/>
        <item x="2"/>
        <item x="0"/>
        <item t="default"/>
      </items>
    </pivotField>
    <pivotField showAll="0"/>
    <pivotField showAll="0">
      <items count="7">
        <item x="0"/>
        <item x="2"/>
        <item x="1"/>
        <item x="3"/>
        <item x="4"/>
        <item x="5"/>
        <item t="default"/>
      </items>
    </pivotField>
    <pivotField showAll="0">
      <items count="193">
        <item x="12"/>
        <item x="123"/>
        <item x="105"/>
        <item x="46"/>
        <item x="45"/>
        <item x="3"/>
        <item x="176"/>
        <item x="77"/>
        <item x="140"/>
        <item x="90"/>
        <item x="128"/>
        <item x="113"/>
        <item x="185"/>
        <item x="38"/>
        <item x="142"/>
        <item x="158"/>
        <item x="100"/>
        <item x="34"/>
        <item x="31"/>
        <item x="175"/>
        <item x="106"/>
        <item x="129"/>
        <item x="149"/>
        <item x="157"/>
        <item x="60"/>
        <item x="126"/>
        <item x="28"/>
        <item x="137"/>
        <item x="115"/>
        <item x="21"/>
        <item x="94"/>
        <item x="95"/>
        <item x="5"/>
        <item x="43"/>
        <item x="89"/>
        <item x="131"/>
        <item x="118"/>
        <item x="65"/>
        <item x="0"/>
        <item x="160"/>
        <item x="8"/>
        <item x="56"/>
        <item x="136"/>
        <item x="164"/>
        <item x="83"/>
        <item x="174"/>
        <item x="135"/>
        <item x="98"/>
        <item x="76"/>
        <item x="161"/>
        <item x="59"/>
        <item x="170"/>
        <item x="75"/>
        <item x="116"/>
        <item x="159"/>
        <item x="177"/>
        <item x="17"/>
        <item x="101"/>
        <item x="63"/>
        <item x="52"/>
        <item x="71"/>
        <item x="13"/>
        <item x="110"/>
        <item x="32"/>
        <item x="103"/>
        <item x="47"/>
        <item x="124"/>
        <item x="6"/>
        <item x="163"/>
        <item x="147"/>
        <item x="25"/>
        <item x="36"/>
        <item x="127"/>
        <item x="79"/>
        <item x="183"/>
        <item x="107"/>
        <item x="130"/>
        <item x="70"/>
        <item x="73"/>
        <item x="68"/>
        <item x="182"/>
        <item x="54"/>
        <item x="97"/>
        <item x="66"/>
        <item x="188"/>
        <item x="51"/>
        <item x="55"/>
        <item x="153"/>
        <item x="104"/>
        <item x="178"/>
        <item x="81"/>
        <item x="108"/>
        <item x="114"/>
        <item x="93"/>
        <item x="190"/>
        <item x="48"/>
        <item x="99"/>
        <item x="167"/>
        <item x="119"/>
        <item x="11"/>
        <item x="125"/>
        <item x="155"/>
        <item x="19"/>
        <item x="23"/>
        <item x="151"/>
        <item x="168"/>
        <item x="122"/>
        <item x="132"/>
        <item x="187"/>
        <item x="35"/>
        <item x="109"/>
        <item x="14"/>
        <item x="120"/>
        <item x="37"/>
        <item x="88"/>
        <item x="16"/>
        <item x="26"/>
        <item x="18"/>
        <item x="138"/>
        <item x="69"/>
        <item x="154"/>
        <item x="173"/>
        <item x="78"/>
        <item x="62"/>
        <item x="166"/>
        <item x="61"/>
        <item x="50"/>
        <item x="96"/>
        <item x="30"/>
        <item x="133"/>
        <item x="58"/>
        <item x="111"/>
        <item x="121"/>
        <item x="139"/>
        <item x="33"/>
        <item x="143"/>
        <item x="145"/>
        <item x="169"/>
        <item x="189"/>
        <item x="180"/>
        <item x="156"/>
        <item x="181"/>
        <item x="7"/>
        <item x="42"/>
        <item x="44"/>
        <item x="22"/>
        <item x="49"/>
        <item x="86"/>
        <item x="85"/>
        <item x="20"/>
        <item x="165"/>
        <item x="57"/>
        <item x="92"/>
        <item x="102"/>
        <item x="134"/>
        <item x="146"/>
        <item x="148"/>
        <item x="152"/>
        <item x="9"/>
        <item x="4"/>
        <item x="10"/>
        <item x="87"/>
        <item x="112"/>
        <item x="80"/>
        <item x="186"/>
        <item x="179"/>
        <item x="84"/>
        <item x="144"/>
        <item x="39"/>
        <item x="2"/>
        <item x="191"/>
        <item x="1"/>
        <item x="74"/>
        <item x="150"/>
        <item x="91"/>
        <item x="27"/>
        <item x="141"/>
        <item x="29"/>
        <item x="67"/>
        <item x="64"/>
        <item x="24"/>
        <item x="82"/>
        <item x="41"/>
        <item x="40"/>
        <item x="172"/>
        <item x="162"/>
        <item x="15"/>
        <item x="72"/>
        <item x="117"/>
        <item x="184"/>
        <item x="171"/>
        <item x="53"/>
        <item t="default"/>
      </items>
    </pivotField>
    <pivotField showAll="0"/>
  </pivotFields>
  <rowFields count="1">
    <field x="10"/>
  </rowFields>
  <rowItems count="4">
    <i>
      <x/>
    </i>
    <i>
      <x v="1"/>
    </i>
    <i>
      <x v="2"/>
    </i>
    <i t="grand">
      <x/>
    </i>
  </rowItems>
  <colItems count="1">
    <i/>
  </colItems>
  <dataFields count="1">
    <dataField name="Count of Name" fld="1" subtotal="count" baseField="0" baseItem="0"/>
  </dataFields>
  <chartFormats count="4">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0" count="1" selected="0">
            <x v="0"/>
          </reference>
        </references>
      </pivotArea>
    </chartFormat>
    <chartFormat chart="4" format="2">
      <pivotArea type="data" outline="0" fieldPosition="0">
        <references count="2">
          <reference field="4294967294" count="1" selected="0">
            <x v="0"/>
          </reference>
          <reference field="10" count="1" selected="0">
            <x v="1"/>
          </reference>
        </references>
      </pivotArea>
    </chartFormat>
    <chartFormat chart="4"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6A25EE-F774-4BBA-9C39-0A844D8291BF}" name="PivotTable5" cacheId="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
  <location ref="H3:I6" firstHeaderRow="1" firstDataRow="1" firstDataCol="1"/>
  <pivotFields count="15">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items count="201">
        <item x="24"/>
        <item x="173"/>
        <item x="94"/>
        <item x="135"/>
        <item x="122"/>
        <item x="97"/>
        <item x="193"/>
        <item x="106"/>
        <item x="160"/>
        <item x="34"/>
        <item x="111"/>
        <item x="93"/>
        <item x="115"/>
        <item x="120"/>
        <item x="54"/>
        <item x="108"/>
        <item x="9"/>
        <item x="187"/>
        <item x="35"/>
        <item x="41"/>
        <item x="87"/>
        <item x="104"/>
        <item x="26"/>
        <item x="27"/>
        <item x="134"/>
        <item x="30"/>
        <item x="53"/>
        <item x="46"/>
        <item x="125"/>
        <item x="10"/>
        <item x="47"/>
        <item x="197"/>
        <item x="130"/>
        <item x="18"/>
        <item x="131"/>
        <item x="88"/>
        <item x="58"/>
        <item x="133"/>
        <item x="99"/>
        <item x="13"/>
        <item x="67"/>
        <item x="178"/>
        <item x="190"/>
        <item x="113"/>
        <item x="44"/>
        <item x="96"/>
        <item x="198"/>
        <item x="196"/>
        <item x="151"/>
        <item x="144"/>
        <item x="118"/>
        <item x="0"/>
        <item x="138"/>
        <item x="22"/>
        <item x="81"/>
        <item x="191"/>
        <item x="167"/>
        <item x="180"/>
        <item x="2"/>
        <item x="199"/>
        <item x="169"/>
        <item x="147"/>
        <item x="55"/>
        <item x="4"/>
        <item x="29"/>
        <item x="103"/>
        <item x="123"/>
        <item x="124"/>
        <item x="90"/>
        <item x="188"/>
        <item x="69"/>
        <item x="183"/>
        <item x="7"/>
        <item x="146"/>
        <item x="60"/>
        <item x="62"/>
        <item x="84"/>
        <item x="8"/>
        <item x="149"/>
        <item x="114"/>
        <item x="92"/>
        <item x="121"/>
        <item x="176"/>
        <item x="17"/>
        <item x="145"/>
        <item x="137"/>
        <item x="1"/>
        <item x="161"/>
        <item x="70"/>
        <item x="174"/>
        <item x="194"/>
        <item x="23"/>
        <item x="102"/>
        <item x="136"/>
        <item x="19"/>
        <item x="126"/>
        <item x="95"/>
        <item x="75"/>
        <item x="158"/>
        <item x="91"/>
        <item x="56"/>
        <item x="148"/>
        <item x="28"/>
        <item x="49"/>
        <item x="79"/>
        <item x="43"/>
        <item x="100"/>
        <item x="112"/>
        <item x="85"/>
        <item x="14"/>
        <item x="171"/>
        <item x="12"/>
        <item x="142"/>
        <item x="181"/>
        <item x="159"/>
        <item x="189"/>
        <item x="64"/>
        <item x="83"/>
        <item x="128"/>
        <item x="48"/>
        <item x="3"/>
        <item x="184"/>
        <item x="98"/>
        <item x="172"/>
        <item x="50"/>
        <item x="132"/>
        <item x="38"/>
        <item x="78"/>
        <item x="5"/>
        <item x="74"/>
        <item x="185"/>
        <item x="51"/>
        <item x="164"/>
        <item x="32"/>
        <item x="36"/>
        <item x="110"/>
        <item x="45"/>
        <item x="153"/>
        <item x="127"/>
        <item x="105"/>
        <item x="150"/>
        <item x="192"/>
        <item x="117"/>
        <item x="20"/>
        <item x="42"/>
        <item x="179"/>
        <item x="39"/>
        <item x="15"/>
        <item x="86"/>
        <item x="52"/>
        <item x="109"/>
        <item x="63"/>
        <item x="139"/>
        <item x="165"/>
        <item x="175"/>
        <item x="177"/>
        <item x="129"/>
        <item x="72"/>
        <item x="155"/>
        <item x="40"/>
        <item x="107"/>
        <item x="57"/>
        <item x="186"/>
        <item x="37"/>
        <item x="163"/>
        <item x="16"/>
        <item x="61"/>
        <item x="25"/>
        <item x="119"/>
        <item x="77"/>
        <item x="116"/>
        <item x="80"/>
        <item x="166"/>
        <item x="182"/>
        <item x="157"/>
        <item x="71"/>
        <item x="162"/>
        <item x="168"/>
        <item x="195"/>
        <item x="6"/>
        <item x="66"/>
        <item x="11"/>
        <item x="89"/>
        <item x="68"/>
        <item x="33"/>
        <item x="59"/>
        <item x="152"/>
        <item x="82"/>
        <item x="170"/>
        <item x="65"/>
        <item x="31"/>
        <item x="21"/>
        <item x="154"/>
        <item x="141"/>
        <item x="156"/>
        <item x="101"/>
        <item x="140"/>
        <item x="73"/>
        <item x="143"/>
        <item x="76"/>
        <item t="default"/>
      </items>
    </pivotField>
    <pivotField showAll="0">
      <items count="59">
        <item x="54"/>
        <item x="17"/>
        <item x="15"/>
        <item x="39"/>
        <item x="55"/>
        <item x="46"/>
        <item x="36"/>
        <item x="5"/>
        <item x="37"/>
        <item x="49"/>
        <item x="10"/>
        <item x="23"/>
        <item x="56"/>
        <item x="40"/>
        <item x="3"/>
        <item x="30"/>
        <item x="45"/>
        <item x="38"/>
        <item x="8"/>
        <item x="43"/>
        <item x="6"/>
        <item x="16"/>
        <item x="9"/>
        <item x="11"/>
        <item x="24"/>
        <item x="42"/>
        <item x="26"/>
        <item x="29"/>
        <item x="2"/>
        <item x="19"/>
        <item x="50"/>
        <item x="57"/>
        <item x="22"/>
        <item x="48"/>
        <item x="44"/>
        <item x="13"/>
        <item x="35"/>
        <item x="20"/>
        <item x="0"/>
        <item x="14"/>
        <item x="53"/>
        <item x="28"/>
        <item x="4"/>
        <item x="18"/>
        <item x="52"/>
        <item x="31"/>
        <item x="51"/>
        <item x="25"/>
        <item x="41"/>
        <item x="32"/>
        <item x="1"/>
        <item x="12"/>
        <item x="47"/>
        <item x="33"/>
        <item x="34"/>
        <item x="7"/>
        <item x="27"/>
        <item x="21"/>
        <item t="default"/>
      </items>
    </pivotField>
    <pivotField axis="axisRow" dataField="1" showAll="0">
      <items count="3">
        <item x="1"/>
        <item x="0"/>
        <item t="default"/>
      </items>
    </pivotField>
    <pivotField showAll="0"/>
    <pivotField showAll="0"/>
    <pivotField numFmtId="14" showAll="0">
      <items count="125">
        <item x="92"/>
        <item x="110"/>
        <item x="74"/>
        <item x="67"/>
        <item x="2"/>
        <item x="41"/>
        <item x="120"/>
        <item x="123"/>
        <item x="25"/>
        <item x="27"/>
        <item x="107"/>
        <item x="111"/>
        <item x="30"/>
        <item x="36"/>
        <item x="105"/>
        <item x="15"/>
        <item x="28"/>
        <item x="50"/>
        <item x="73"/>
        <item x="42"/>
        <item x="75"/>
        <item x="29"/>
        <item x="122"/>
        <item x="118"/>
        <item x="21"/>
        <item x="24"/>
        <item x="55"/>
        <item x="115"/>
        <item x="58"/>
        <item x="99"/>
        <item x="81"/>
        <item x="117"/>
        <item x="101"/>
        <item x="106"/>
        <item x="44"/>
        <item x="53"/>
        <item x="109"/>
        <item x="96"/>
        <item x="54"/>
        <item x="9"/>
        <item x="114"/>
        <item x="90"/>
        <item x="31"/>
        <item x="79"/>
        <item x="49"/>
        <item x="83"/>
        <item x="80"/>
        <item x="65"/>
        <item x="11"/>
        <item x="40"/>
        <item x="103"/>
        <item x="0"/>
        <item x="119"/>
        <item x="45"/>
        <item x="32"/>
        <item x="34"/>
        <item x="1"/>
        <item x="86"/>
        <item x="94"/>
        <item x="3"/>
        <item x="22"/>
        <item x="20"/>
        <item x="37"/>
        <item x="17"/>
        <item x="112"/>
        <item x="7"/>
        <item x="85"/>
        <item x="56"/>
        <item x="46"/>
        <item x="33"/>
        <item x="26"/>
        <item x="10"/>
        <item x="6"/>
        <item x="48"/>
        <item x="104"/>
        <item x="121"/>
        <item x="13"/>
        <item x="61"/>
        <item x="52"/>
        <item x="87"/>
        <item x="91"/>
        <item x="43"/>
        <item x="93"/>
        <item x="82"/>
        <item x="62"/>
        <item x="98"/>
        <item x="8"/>
        <item x="78"/>
        <item x="71"/>
        <item x="16"/>
        <item x="38"/>
        <item x="35"/>
        <item x="60"/>
        <item x="108"/>
        <item x="47"/>
        <item x="66"/>
        <item x="64"/>
        <item x="39"/>
        <item x="89"/>
        <item x="102"/>
        <item x="23"/>
        <item x="18"/>
        <item x="95"/>
        <item x="4"/>
        <item x="116"/>
        <item x="113"/>
        <item x="12"/>
        <item x="84"/>
        <item x="100"/>
        <item x="97"/>
        <item x="5"/>
        <item x="63"/>
        <item x="14"/>
        <item x="76"/>
        <item x="77"/>
        <item x="59"/>
        <item x="69"/>
        <item x="70"/>
        <item x="88"/>
        <item x="68"/>
        <item x="19"/>
        <item x="72"/>
        <item x="51"/>
        <item x="57"/>
        <item t="default"/>
      </items>
    </pivotField>
    <pivotField numFmtId="14" showAll="0">
      <items count="116">
        <item x="26"/>
        <item x="111"/>
        <item x="103"/>
        <item x="101"/>
        <item x="29"/>
        <item x="83"/>
        <item x="84"/>
        <item x="32"/>
        <item x="105"/>
        <item x="77"/>
        <item x="112"/>
        <item x="88"/>
        <item x="99"/>
        <item x="55"/>
        <item x="58"/>
        <item x="108"/>
        <item x="56"/>
        <item x="87"/>
        <item x="44"/>
        <item x="76"/>
        <item x="114"/>
        <item x="95"/>
        <item x="2"/>
        <item x="49"/>
        <item x="110"/>
        <item x="102"/>
        <item x="34"/>
        <item x="43"/>
        <item x="35"/>
        <item x="46"/>
        <item x="57"/>
        <item x="96"/>
        <item x="63"/>
        <item x="1"/>
        <item x="106"/>
        <item x="0"/>
        <item x="3"/>
        <item x="107"/>
        <item x="33"/>
        <item x="79"/>
        <item x="92"/>
        <item x="74"/>
        <item x="7"/>
        <item x="9"/>
        <item x="50"/>
        <item x="113"/>
        <item x="109"/>
        <item x="52"/>
        <item x="31"/>
        <item x="27"/>
        <item x="100"/>
        <item x="25"/>
        <item x="72"/>
        <item x="45"/>
        <item x="30"/>
        <item x="13"/>
        <item x="54"/>
        <item x="61"/>
        <item x="39"/>
        <item x="71"/>
        <item x="85"/>
        <item x="40"/>
        <item x="70"/>
        <item x="89"/>
        <item x="10"/>
        <item x="8"/>
        <item x="17"/>
        <item x="65"/>
        <item x="15"/>
        <item x="75"/>
        <item x="41"/>
        <item x="60"/>
        <item x="66"/>
        <item x="64"/>
        <item x="86"/>
        <item x="48"/>
        <item x="24"/>
        <item x="23"/>
        <item x="22"/>
        <item x="4"/>
        <item x="42"/>
        <item x="104"/>
        <item x="11"/>
        <item x="90"/>
        <item x="47"/>
        <item x="12"/>
        <item x="19"/>
        <item x="36"/>
        <item x="78"/>
        <item x="62"/>
        <item x="14"/>
        <item x="97"/>
        <item x="73"/>
        <item x="80"/>
        <item x="6"/>
        <item x="37"/>
        <item x="91"/>
        <item x="16"/>
        <item x="21"/>
        <item x="59"/>
        <item x="67"/>
        <item x="82"/>
        <item x="93"/>
        <item x="69"/>
        <item x="68"/>
        <item x="28"/>
        <item x="94"/>
        <item x="20"/>
        <item x="53"/>
        <item x="5"/>
        <item x="81"/>
        <item x="51"/>
        <item x="98"/>
        <item x="18"/>
        <item x="38"/>
        <item t="default"/>
      </items>
    </pivotField>
    <pivotField numFmtId="1" showAll="0"/>
    <pivotField showAll="0"/>
    <pivotField showAll="0">
      <items count="4">
        <item x="1"/>
        <item x="2"/>
        <item x="0"/>
        <item t="default"/>
      </items>
    </pivotField>
    <pivotField showAll="0"/>
    <pivotField showAll="0">
      <items count="7">
        <item x="0"/>
        <item x="2"/>
        <item x="1"/>
        <item x="3"/>
        <item x="4"/>
        <item x="5"/>
        <item t="default"/>
      </items>
    </pivotField>
    <pivotField showAll="0">
      <items count="193">
        <item x="12"/>
        <item x="123"/>
        <item x="105"/>
        <item x="46"/>
        <item x="45"/>
        <item x="3"/>
        <item x="176"/>
        <item x="77"/>
        <item x="140"/>
        <item x="90"/>
        <item x="128"/>
        <item x="113"/>
        <item x="185"/>
        <item x="38"/>
        <item x="142"/>
        <item x="158"/>
        <item x="100"/>
        <item x="34"/>
        <item x="31"/>
        <item x="175"/>
        <item x="106"/>
        <item x="129"/>
        <item x="149"/>
        <item x="157"/>
        <item x="60"/>
        <item x="126"/>
        <item x="28"/>
        <item x="137"/>
        <item x="115"/>
        <item x="21"/>
        <item x="94"/>
        <item x="95"/>
        <item x="5"/>
        <item x="43"/>
        <item x="89"/>
        <item x="131"/>
        <item x="118"/>
        <item x="65"/>
        <item x="0"/>
        <item x="160"/>
        <item x="8"/>
        <item x="56"/>
        <item x="136"/>
        <item x="164"/>
        <item x="83"/>
        <item x="174"/>
        <item x="135"/>
        <item x="98"/>
        <item x="76"/>
        <item x="161"/>
        <item x="59"/>
        <item x="170"/>
        <item x="75"/>
        <item x="116"/>
        <item x="159"/>
        <item x="177"/>
        <item x="17"/>
        <item x="101"/>
        <item x="63"/>
        <item x="52"/>
        <item x="71"/>
        <item x="13"/>
        <item x="110"/>
        <item x="32"/>
        <item x="103"/>
        <item x="47"/>
        <item x="124"/>
        <item x="6"/>
        <item x="163"/>
        <item x="147"/>
        <item x="25"/>
        <item x="36"/>
        <item x="127"/>
        <item x="79"/>
        <item x="183"/>
        <item x="107"/>
        <item x="130"/>
        <item x="70"/>
        <item x="73"/>
        <item x="68"/>
        <item x="182"/>
        <item x="54"/>
        <item x="97"/>
        <item x="66"/>
        <item x="188"/>
        <item x="51"/>
        <item x="55"/>
        <item x="153"/>
        <item x="104"/>
        <item x="178"/>
        <item x="81"/>
        <item x="108"/>
        <item x="114"/>
        <item x="93"/>
        <item x="190"/>
        <item x="48"/>
        <item x="99"/>
        <item x="167"/>
        <item x="119"/>
        <item x="11"/>
        <item x="125"/>
        <item x="155"/>
        <item x="19"/>
        <item x="23"/>
        <item x="151"/>
        <item x="168"/>
        <item x="122"/>
        <item x="132"/>
        <item x="187"/>
        <item x="35"/>
        <item x="109"/>
        <item x="14"/>
        <item x="120"/>
        <item x="37"/>
        <item x="88"/>
        <item x="16"/>
        <item x="26"/>
        <item x="18"/>
        <item x="138"/>
        <item x="69"/>
        <item x="154"/>
        <item x="173"/>
        <item x="78"/>
        <item x="62"/>
        <item x="166"/>
        <item x="61"/>
        <item x="50"/>
        <item x="96"/>
        <item x="30"/>
        <item x="133"/>
        <item x="58"/>
        <item x="111"/>
        <item x="121"/>
        <item x="139"/>
        <item x="33"/>
        <item x="143"/>
        <item x="145"/>
        <item x="169"/>
        <item x="189"/>
        <item x="180"/>
        <item x="156"/>
        <item x="181"/>
        <item x="7"/>
        <item x="42"/>
        <item x="44"/>
        <item x="22"/>
        <item x="49"/>
        <item x="86"/>
        <item x="85"/>
        <item x="20"/>
        <item x="165"/>
        <item x="57"/>
        <item x="92"/>
        <item x="102"/>
        <item x="134"/>
        <item x="146"/>
        <item x="148"/>
        <item x="152"/>
        <item x="9"/>
        <item x="4"/>
        <item x="10"/>
        <item x="87"/>
        <item x="112"/>
        <item x="80"/>
        <item x="186"/>
        <item x="179"/>
        <item x="84"/>
        <item x="144"/>
        <item x="39"/>
        <item x="2"/>
        <item x="191"/>
        <item x="1"/>
        <item x="74"/>
        <item x="150"/>
        <item x="91"/>
        <item x="27"/>
        <item x="141"/>
        <item x="29"/>
        <item x="67"/>
        <item x="64"/>
        <item x="24"/>
        <item x="82"/>
        <item x="41"/>
        <item x="40"/>
        <item x="172"/>
        <item x="162"/>
        <item x="15"/>
        <item x="72"/>
        <item x="117"/>
        <item x="184"/>
        <item x="171"/>
        <item x="53"/>
        <item t="default"/>
      </items>
    </pivotField>
    <pivotField showAll="0"/>
  </pivotFields>
  <rowFields count="1">
    <field x="3"/>
  </rowFields>
  <rowItems count="3">
    <i>
      <x/>
    </i>
    <i>
      <x v="1"/>
    </i>
    <i t="grand">
      <x/>
    </i>
  </rowItems>
  <colItems count="1">
    <i/>
  </colItems>
  <dataFields count="1">
    <dataField name="Count of Gender" fld="3" subtotal="count" baseField="0" baseItem="0"/>
  </dataFields>
  <chartFormats count="6">
    <chartFormat chart="9"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3" count="1" selected="0">
            <x v="0"/>
          </reference>
        </references>
      </pivotArea>
    </chartFormat>
    <chartFormat chart="11" format="6">
      <pivotArea type="data" outline="0" fieldPosition="0">
        <references count="2">
          <reference field="4294967294" count="1" selected="0">
            <x v="0"/>
          </reference>
          <reference field="3" count="1" selected="0">
            <x v="1"/>
          </reference>
        </references>
      </pivotArea>
    </chartFormat>
    <chartFormat chart="9" format="1">
      <pivotArea type="data" outline="0" fieldPosition="0">
        <references count="2">
          <reference field="4294967294" count="1" selected="0">
            <x v="0"/>
          </reference>
          <reference field="3" count="1" selected="0">
            <x v="0"/>
          </reference>
        </references>
      </pivotArea>
    </chartFormat>
    <chartFormat chart="9"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2" xr16:uid="{111B535E-6DD8-4849-A3DE-1F1268B09C1B}" autoFormatId="16" applyNumberFormats="0" applyBorderFormats="0" applyFontFormats="0" applyPatternFormats="0" applyAlignmentFormats="0" applyWidthHeightFormats="0">
  <queryTableRefresh nextId="10" unboundColumnsRight="1">
    <queryTableFields count="6">
      <queryTableField id="1" name="LabID" tableColumnId="1"/>
      <queryTableField id="2" name="PatientID" tableColumnId="2"/>
      <queryTableField id="3" name="TestName" tableColumnId="3"/>
      <queryTableField id="4" name="Result" tableColumnId="4"/>
      <queryTableField id="5" name="NormalRange" tableColumnId="5"/>
      <queryTableField id="9" dataBound="0"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1" xr16:uid="{5C66A6B9-FF43-4230-A491-2156BEB6B5A4}" autoFormatId="16" applyNumberFormats="0" applyBorderFormats="0" applyFontFormats="0" applyPatternFormats="0" applyAlignmentFormats="0" applyWidthHeightFormats="0">
  <queryTableRefresh nextId="3">
    <queryTableFields count="2">
      <queryTableField id="1" name="DiagnosisID" tableColumnId="1"/>
      <queryTableField id="2" name="DiagnosisName"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64E3BB64-AE06-48E8-AD0E-9B98C48720A1}" autoFormatId="16" applyNumberFormats="0" applyBorderFormats="0" applyFontFormats="0" applyPatternFormats="0" applyAlignmentFormats="0" applyWidthHeightFormats="0">
  <queryTableRefresh nextId="3">
    <queryTableFields count="2">
      <queryTableField id="1" name="OutcomeID" tableColumnId="1"/>
      <queryTableField id="2" name="OutcomeName"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4" xr16:uid="{70BA454F-DE5D-408C-8742-5FBF03AB3D83}" autoFormatId="16" applyNumberFormats="0" applyBorderFormats="0" applyFontFormats="0" applyPatternFormats="0" applyAlignmentFormats="0" applyWidthHeightFormats="0">
  <queryTableRefresh nextId="16" unboundColumnsRight="2">
    <queryTableFields count="14">
      <queryTableField id="1" name="PatientID" tableColumnId="1"/>
      <queryTableField id="2" name="Name" tableColumnId="2"/>
      <queryTableField id="3" name="Age" tableColumnId="3"/>
      <queryTableField id="4" name="Gender" tableColumnId="4"/>
      <queryTableField id="5" name="DiagnosisID" tableColumnId="5"/>
      <queryTableField id="10" dataBound="0" tableColumnId="10"/>
      <queryTableField id="6" name="AdmissionDate" tableColumnId="6"/>
      <queryTableField id="7" name="DischargeDate" tableColumnId="7"/>
      <queryTableField id="12" dataBound="0" tableColumnId="12"/>
      <queryTableField id="8" name="OutcomeID" tableColumnId="8"/>
      <queryTableField id="13" dataBound="0" tableColumnId="13"/>
      <queryTableField id="9" name="TreatmentCost" tableColumnId="9"/>
      <queryTableField id="11" dataBound="0" tableColumnId="11"/>
      <queryTableField id="14" dataBound="0"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F091E555-620F-4230-8270-4993BFB743C1}" sourceName="Name">
  <pivotTables>
    <pivotTable tabId="1" name="PivotTable5"/>
    <pivotTable tabId="1" name="PivotTable1"/>
    <pivotTable tabId="1" name="PivotTable2"/>
    <pivotTable tabId="1" name="PivotTable3"/>
    <pivotTable tabId="1" name="PivotTable8"/>
  </pivotTables>
  <data>
    <tabular pivotCacheId="1060946627">
      <items count="200">
        <i x="24" s="1"/>
        <i x="173" s="1"/>
        <i x="94" s="1"/>
        <i x="135" s="1"/>
        <i x="122" s="1"/>
        <i x="97" s="1"/>
        <i x="193" s="1"/>
        <i x="106" s="1"/>
        <i x="160" s="1"/>
        <i x="34" s="1"/>
        <i x="111" s="1"/>
        <i x="93" s="1"/>
        <i x="115" s="1"/>
        <i x="120" s="1"/>
        <i x="54" s="1"/>
        <i x="108" s="1"/>
        <i x="9" s="1"/>
        <i x="187" s="1"/>
        <i x="35" s="1"/>
        <i x="41" s="1"/>
        <i x="87" s="1"/>
        <i x="104" s="1"/>
        <i x="26" s="1"/>
        <i x="27" s="1"/>
        <i x="134" s="1"/>
        <i x="30" s="1"/>
        <i x="53" s="1"/>
        <i x="46" s="1"/>
        <i x="125" s="1"/>
        <i x="10" s="1"/>
        <i x="47" s="1"/>
        <i x="197" s="1"/>
        <i x="130" s="1"/>
        <i x="18" s="1"/>
        <i x="131" s="1"/>
        <i x="88" s="1"/>
        <i x="58" s="1"/>
        <i x="133" s="1"/>
        <i x="99" s="1"/>
        <i x="13" s="1"/>
        <i x="67" s="1"/>
        <i x="178" s="1"/>
        <i x="190" s="1"/>
        <i x="113" s="1"/>
        <i x="44" s="1"/>
        <i x="96" s="1"/>
        <i x="198" s="1"/>
        <i x="196" s="1"/>
        <i x="151" s="1"/>
        <i x="144" s="1"/>
        <i x="118" s="1"/>
        <i x="0" s="1"/>
        <i x="138" s="1"/>
        <i x="22" s="1"/>
        <i x="81" s="1"/>
        <i x="191" s="1"/>
        <i x="167" s="1"/>
        <i x="180" s="1"/>
        <i x="2" s="1"/>
        <i x="199" s="1"/>
        <i x="169" s="1"/>
        <i x="147" s="1"/>
        <i x="55" s="1"/>
        <i x="4" s="1"/>
        <i x="29" s="1"/>
        <i x="103" s="1"/>
        <i x="123" s="1"/>
        <i x="124" s="1"/>
        <i x="90" s="1"/>
        <i x="188" s="1"/>
        <i x="69" s="1"/>
        <i x="183" s="1"/>
        <i x="7" s="1"/>
        <i x="146" s="1"/>
        <i x="60" s="1"/>
        <i x="62" s="1"/>
        <i x="84" s="1"/>
        <i x="8" s="1"/>
        <i x="149" s="1"/>
        <i x="114" s="1"/>
        <i x="92" s="1"/>
        <i x="121" s="1"/>
        <i x="176" s="1"/>
        <i x="17" s="1"/>
        <i x="145" s="1"/>
        <i x="137" s="1"/>
        <i x="1" s="1"/>
        <i x="161" s="1"/>
        <i x="70" s="1"/>
        <i x="174" s="1"/>
        <i x="194" s="1"/>
        <i x="23" s="1"/>
        <i x="102" s="1"/>
        <i x="136" s="1"/>
        <i x="19" s="1"/>
        <i x="126" s="1"/>
        <i x="95" s="1"/>
        <i x="75" s="1"/>
        <i x="158" s="1"/>
        <i x="91" s="1"/>
        <i x="56" s="1"/>
        <i x="148" s="1"/>
        <i x="28" s="1"/>
        <i x="49" s="1"/>
        <i x="79" s="1"/>
        <i x="43" s="1"/>
        <i x="100" s="1"/>
        <i x="112" s="1"/>
        <i x="85" s="1"/>
        <i x="14" s="1"/>
        <i x="171" s="1"/>
        <i x="12" s="1"/>
        <i x="142" s="1"/>
        <i x="181" s="1"/>
        <i x="159" s="1"/>
        <i x="189" s="1"/>
        <i x="64" s="1"/>
        <i x="83" s="1"/>
        <i x="128" s="1"/>
        <i x="48" s="1"/>
        <i x="3" s="1"/>
        <i x="184" s="1"/>
        <i x="98" s="1"/>
        <i x="172" s="1"/>
        <i x="50" s="1"/>
        <i x="132" s="1"/>
        <i x="38" s="1"/>
        <i x="78" s="1"/>
        <i x="5" s="1"/>
        <i x="74" s="1"/>
        <i x="185" s="1"/>
        <i x="51" s="1"/>
        <i x="164" s="1"/>
        <i x="32" s="1"/>
        <i x="36" s="1"/>
        <i x="110" s="1"/>
        <i x="45" s="1"/>
        <i x="153" s="1"/>
        <i x="127" s="1"/>
        <i x="105" s="1"/>
        <i x="150" s="1"/>
        <i x="192" s="1"/>
        <i x="117" s="1"/>
        <i x="20" s="1"/>
        <i x="42" s="1"/>
        <i x="179" s="1"/>
        <i x="39" s="1"/>
        <i x="15" s="1"/>
        <i x="86" s="1"/>
        <i x="52" s="1"/>
        <i x="109" s="1"/>
        <i x="63" s="1"/>
        <i x="139" s="1"/>
        <i x="165" s="1"/>
        <i x="175" s="1"/>
        <i x="177" s="1"/>
        <i x="129" s="1"/>
        <i x="72" s="1"/>
        <i x="155" s="1"/>
        <i x="40" s="1"/>
        <i x="107" s="1"/>
        <i x="57" s="1"/>
        <i x="186" s="1"/>
        <i x="37" s="1"/>
        <i x="163" s="1"/>
        <i x="16" s="1"/>
        <i x="61" s="1"/>
        <i x="25" s="1"/>
        <i x="119" s="1"/>
        <i x="77" s="1"/>
        <i x="116" s="1"/>
        <i x="80" s="1"/>
        <i x="166" s="1"/>
        <i x="182" s="1"/>
        <i x="157" s="1"/>
        <i x="71" s="1"/>
        <i x="162" s="1"/>
        <i x="168" s="1"/>
        <i x="195" s="1"/>
        <i x="6" s="1"/>
        <i x="66" s="1"/>
        <i x="11" s="1"/>
        <i x="89" s="1"/>
        <i x="68" s="1"/>
        <i x="33" s="1"/>
        <i x="59" s="1"/>
        <i x="152" s="1"/>
        <i x="82" s="1"/>
        <i x="170" s="1"/>
        <i x="65" s="1"/>
        <i x="31" s="1"/>
        <i x="21" s="1"/>
        <i x="154" s="1"/>
        <i x="141" s="1"/>
        <i x="156" s="1"/>
        <i x="101" s="1"/>
        <i x="140" s="1"/>
        <i x="73" s="1"/>
        <i x="143" s="1"/>
        <i x="7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ID" xr10:uid="{EBCAB31E-C076-4840-B66F-A27DF45DE737}" sourceName="PatientID">
  <pivotTables>
    <pivotTable tabId="1" name="PivotTable5"/>
    <pivotTable tabId="1" name="PivotTable1"/>
    <pivotTable tabId="1" name="PivotTable2"/>
    <pivotTable tabId="1" name="PivotTable3"/>
    <pivotTable tabId="1" name="PivotTable8"/>
  </pivotTables>
  <data>
    <tabular pivotCacheId="1060946627">
      <items count="20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st_perform" xr10:uid="{CBDF73F3-B828-4197-B563-EE8D29CF35C5}" sourceName="test perform">
  <pivotTables>
    <pivotTable tabId="1" name="PivotTable1"/>
    <pivotTable tabId="1" name="PivotTable2"/>
    <pivotTable tabId="1" name="PivotTable3"/>
    <pivotTable tabId="1" name="PivotTable5"/>
    <pivotTable tabId="1" name="PivotTable8"/>
  </pivotTables>
  <data>
    <tabular pivotCacheId="1060946627">
      <items count="6">
        <i x="0" s="1"/>
        <i x="2" s="1"/>
        <i x="1" s="1"/>
        <i x="3" s="1"/>
        <i x="4"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ult" xr10:uid="{9B743047-6A73-44C0-85A3-DF51794C6B69}" sourceName="result">
  <pivotTables>
    <pivotTable tabId="1" name="PivotTable1"/>
    <pivotTable tabId="1" name="PivotTable2"/>
    <pivotTable tabId="1" name="PivotTable3"/>
    <pivotTable tabId="1" name="PivotTable5"/>
    <pivotTable tabId="1" name="PivotTable8"/>
  </pivotTables>
  <data>
    <tabular pivotCacheId="1060946627">
      <items count="192">
        <i x="12" s="1"/>
        <i x="123" s="1"/>
        <i x="105" s="1"/>
        <i x="46" s="1"/>
        <i x="45" s="1"/>
        <i x="3" s="1"/>
        <i x="176" s="1"/>
        <i x="77" s="1"/>
        <i x="140" s="1"/>
        <i x="90" s="1"/>
        <i x="128" s="1"/>
        <i x="113" s="1"/>
        <i x="185" s="1"/>
        <i x="38" s="1"/>
        <i x="142" s="1"/>
        <i x="158" s="1"/>
        <i x="100" s="1"/>
        <i x="34" s="1"/>
        <i x="31" s="1"/>
        <i x="175" s="1"/>
        <i x="106" s="1"/>
        <i x="129" s="1"/>
        <i x="149" s="1"/>
        <i x="157" s="1"/>
        <i x="60" s="1"/>
        <i x="126" s="1"/>
        <i x="28" s="1"/>
        <i x="137" s="1"/>
        <i x="115" s="1"/>
        <i x="21" s="1"/>
        <i x="94" s="1"/>
        <i x="95" s="1"/>
        <i x="5" s="1"/>
        <i x="43" s="1"/>
        <i x="89" s="1"/>
        <i x="131" s="1"/>
        <i x="118" s="1"/>
        <i x="65" s="1"/>
        <i x="0" s="1"/>
        <i x="160" s="1"/>
        <i x="8" s="1"/>
        <i x="56" s="1"/>
        <i x="136" s="1"/>
        <i x="164" s="1"/>
        <i x="83" s="1"/>
        <i x="174" s="1"/>
        <i x="135" s="1"/>
        <i x="98" s="1"/>
        <i x="76" s="1"/>
        <i x="161" s="1"/>
        <i x="59" s="1"/>
        <i x="170" s="1"/>
        <i x="75" s="1"/>
        <i x="116" s="1"/>
        <i x="159" s="1"/>
        <i x="177" s="1"/>
        <i x="17" s="1"/>
        <i x="101" s="1"/>
        <i x="63" s="1"/>
        <i x="52" s="1"/>
        <i x="71" s="1"/>
        <i x="13" s="1"/>
        <i x="110" s="1"/>
        <i x="32" s="1"/>
        <i x="103" s="1"/>
        <i x="47" s="1"/>
        <i x="124" s="1"/>
        <i x="6" s="1"/>
        <i x="163" s="1"/>
        <i x="147" s="1"/>
        <i x="25" s="1"/>
        <i x="36" s="1"/>
        <i x="127" s="1"/>
        <i x="79" s="1"/>
        <i x="183" s="1"/>
        <i x="107" s="1"/>
        <i x="130" s="1"/>
        <i x="70" s="1"/>
        <i x="73" s="1"/>
        <i x="68" s="1"/>
        <i x="182" s="1"/>
        <i x="54" s="1"/>
        <i x="97" s="1"/>
        <i x="66" s="1"/>
        <i x="188" s="1"/>
        <i x="51" s="1"/>
        <i x="55" s="1"/>
        <i x="153" s="1"/>
        <i x="104" s="1"/>
        <i x="178" s="1"/>
        <i x="81" s="1"/>
        <i x="108" s="1"/>
        <i x="114" s="1"/>
        <i x="93" s="1"/>
        <i x="190" s="1"/>
        <i x="48" s="1"/>
        <i x="99" s="1"/>
        <i x="167" s="1"/>
        <i x="119" s="1"/>
        <i x="11" s="1"/>
        <i x="125" s="1"/>
        <i x="155" s="1"/>
        <i x="19" s="1"/>
        <i x="23" s="1"/>
        <i x="151" s="1"/>
        <i x="168" s="1"/>
        <i x="122" s="1"/>
        <i x="132" s="1"/>
        <i x="187" s="1"/>
        <i x="35" s="1"/>
        <i x="109" s="1"/>
        <i x="14" s="1"/>
        <i x="120" s="1"/>
        <i x="37" s="1"/>
        <i x="88" s="1"/>
        <i x="16" s="1"/>
        <i x="26" s="1"/>
        <i x="18" s="1"/>
        <i x="138" s="1"/>
        <i x="69" s="1"/>
        <i x="154" s="1"/>
        <i x="173" s="1"/>
        <i x="78" s="1"/>
        <i x="62" s="1"/>
        <i x="166" s="1"/>
        <i x="61" s="1"/>
        <i x="50" s="1"/>
        <i x="96" s="1"/>
        <i x="30" s="1"/>
        <i x="133" s="1"/>
        <i x="58" s="1"/>
        <i x="111" s="1"/>
        <i x="121" s="1"/>
        <i x="139" s="1"/>
        <i x="33" s="1"/>
        <i x="143" s="1"/>
        <i x="145" s="1"/>
        <i x="169" s="1"/>
        <i x="189" s="1"/>
        <i x="180" s="1"/>
        <i x="156" s="1"/>
        <i x="181" s="1"/>
        <i x="7" s="1"/>
        <i x="42" s="1"/>
        <i x="44" s="1"/>
        <i x="22" s="1"/>
        <i x="49" s="1"/>
        <i x="86" s="1"/>
        <i x="85" s="1"/>
        <i x="20" s="1"/>
        <i x="165" s="1"/>
        <i x="57" s="1"/>
        <i x="92" s="1"/>
        <i x="102" s="1"/>
        <i x="134" s="1"/>
        <i x="146" s="1"/>
        <i x="148" s="1"/>
        <i x="152" s="1"/>
        <i x="9" s="1"/>
        <i x="4" s="1"/>
        <i x="10" s="1"/>
        <i x="87" s="1"/>
        <i x="112" s="1"/>
        <i x="80" s="1"/>
        <i x="186" s="1"/>
        <i x="179" s="1"/>
        <i x="84" s="1"/>
        <i x="144" s="1"/>
        <i x="39" s="1"/>
        <i x="2" s="1"/>
        <i x="191" s="1"/>
        <i x="1" s="1"/>
        <i x="74" s="1"/>
        <i x="150" s="1"/>
        <i x="91" s="1"/>
        <i x="27" s="1"/>
        <i x="141" s="1"/>
        <i x="29" s="1"/>
        <i x="67" s="1"/>
        <i x="64" s="1"/>
        <i x="24" s="1"/>
        <i x="82" s="1"/>
        <i x="41" s="1"/>
        <i x="40" s="1"/>
        <i x="172" s="1"/>
        <i x="162" s="1"/>
        <i x="15" s="1"/>
        <i x="72" s="1"/>
        <i x="117" s="1"/>
        <i x="184" s="1"/>
        <i x="171" s="1"/>
        <i x="5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E561398F-836A-4FF9-BC2E-72A76A0CF780}" cache="Slicer_Name" caption="Name" startItem="5" rowHeight="234950"/>
  <slicer name="PatientID" xr10:uid="{986339CE-CC76-47DF-9A01-1BD235875B98}" cache="Slicer_PatientID" caption="PatientID" rowHeight="234950"/>
  <slicer name="test perform" xr10:uid="{F4AE9A36-EA74-45D1-9A03-D90D02BE76E9}" cache="Slicer_test_perform" caption="test perform" rowHeight="234950"/>
  <slicer name="result" xr10:uid="{A3090122-3F61-4E40-A543-2A129F14512E}" cache="Slicer_result" caption="resul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2" xr10:uid="{E846658D-9784-4800-93FC-DCDB59BD6576}" cache="Slicer_Name" caption="Name" startItem="61" style="Slicer Style 1" rowHeight="234950"/>
  <slicer name="PatientID 1" xr10:uid="{B07A3CA8-31BA-4313-BA47-CEDC93694FA1}" cache="Slicer_PatientID" caption="PatientID" style="Slicer Style 1" rowHeight="234950"/>
  <slicer name="test perform 1" xr10:uid="{7E2575B7-EE45-4C50-89AC-B2E8486A350B}" cache="Slicer_test_perform" caption="test perform" style="Slicer Style 1" rowHeight="234950"/>
  <slicer name="result 1" xr10:uid="{E63C3DD4-9789-40AF-A5B7-B3131A38D1BF}" cache="Slicer_result" caption="result" style="Slicer Style 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2C22347-8626-49E1-86A9-766DEC807F3B}" name="labs" displayName="labs" ref="A1:F201" tableType="queryTable" totalsRowShown="0">
  <autoFilter ref="A1:F201" xr:uid="{92C22347-8626-49E1-86A9-766DEC807F3B}"/>
  <tableColumns count="6">
    <tableColumn id="1" xr3:uid="{02F82007-95B8-4EF5-8747-CA475B18B3CA}" uniqueName="1" name="LabID" queryTableFieldId="1"/>
    <tableColumn id="2" xr3:uid="{04057C47-3FCE-4F26-AEED-05D75B12A463}" uniqueName="2" name="PatientID" queryTableFieldId="2"/>
    <tableColumn id="3" xr3:uid="{93AE7A2B-BC54-421E-9D37-7D189CC38C4B}" uniqueName="3" name="TestName" queryTableFieldId="3" dataDxfId="28"/>
    <tableColumn id="4" xr3:uid="{66C20095-8690-4C34-A140-CA9299450596}" uniqueName="4" name="Result" queryTableFieldId="4"/>
    <tableColumn id="5" xr3:uid="{C66C570A-5178-4FDA-8BAF-EDFF3D35AA76}" uniqueName="5" name="NormalRange" queryTableFieldId="5" dataDxfId="27"/>
    <tableColumn id="9" xr3:uid="{4E4ED886-7ECD-4A8F-B820-8941857C378F}" uniqueName="9" name="Column1" queryTableFieldId="9" dataDxfId="26">
      <calculatedColumnFormula>IF(labs[[#This Row],[Result]]&gt;=labs[[#This Row],[NormalRange]],"good","bad")</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E068021-EE9E-46F6-8E80-7A8690197907}" name="diagnoses" displayName="diagnoses" ref="A1:B11" tableType="queryTable" totalsRowShown="0">
  <autoFilter ref="A1:B11" xr:uid="{1E068021-EE9E-46F6-8E80-7A8690197907}"/>
  <tableColumns count="2">
    <tableColumn id="1" xr3:uid="{089B54EE-AB8F-4C89-8887-BAFEC9AD0FF3}" uniqueName="1" name="DiagnosisID" queryTableFieldId="1"/>
    <tableColumn id="2" xr3:uid="{2807790C-23F1-4495-8875-32755890CC56}" uniqueName="2" name="DiagnosisName" queryTableFieldId="2" dataDxfId="2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B60A52D-51E9-48CA-97AD-D3F55BE910A6}" name="outcomes" displayName="outcomes" ref="A1:B4" tableType="queryTable" totalsRowShown="0">
  <autoFilter ref="A1:B4" xr:uid="{2B60A52D-51E9-48CA-97AD-D3F55BE910A6}"/>
  <tableColumns count="2">
    <tableColumn id="1" xr3:uid="{18429A77-F18B-460B-B078-26810C7A3479}" uniqueName="1" name="OutcomeID" queryTableFieldId="1"/>
    <tableColumn id="2" xr3:uid="{33082464-27ED-4EC3-A752-260EFD8A84C1}" uniqueName="2" name="OutcomeName" queryTableFieldId="2" dataDxfId="2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70EE261-AFE7-4EE8-AD82-5EC30090AD72}" name="patients" displayName="patients" ref="A1:N201" tableType="queryTable" totalsRowShown="0">
  <autoFilter ref="A1:N201" xr:uid="{170EE261-AFE7-4EE8-AD82-5EC30090AD72}"/>
  <tableColumns count="14">
    <tableColumn id="1" xr3:uid="{58CE4249-B302-4525-8912-02278BFEBB7F}" uniqueName="1" name="PatientID" queryTableFieldId="1"/>
    <tableColumn id="2" xr3:uid="{F4603437-C772-4832-B579-786C7F44CC03}" uniqueName="2" name="Name" queryTableFieldId="2" dataDxfId="23"/>
    <tableColumn id="3" xr3:uid="{F0A476D1-257E-4CCE-A47E-A1A54B7DC047}" uniqueName="3" name="Age" queryTableFieldId="3"/>
    <tableColumn id="4" xr3:uid="{A28FF8F8-8CF4-4F7B-8FF9-7EAFEE1FA818}" uniqueName="4" name="Gender" queryTableFieldId="4" dataDxfId="22"/>
    <tableColumn id="5" xr3:uid="{0A8EF150-1FE3-46AB-8D8C-1E68457A3EB5}" uniqueName="5" name="DiagnosisID" queryTableFieldId="5"/>
    <tableColumn id="10" xr3:uid="{DACDAFBF-5910-4A78-B76A-12E979F9877F}" uniqueName="10" name="Diagnoses name" queryTableFieldId="10" dataDxfId="21">
      <calculatedColumnFormula>VLOOKUP(patients[[#This Row],[DiagnosisID]],diagnoses[#All],2)</calculatedColumnFormula>
    </tableColumn>
    <tableColumn id="6" xr3:uid="{CBC1BFA6-CFE5-4854-A082-1E34E65D6D9A}" uniqueName="6" name="AdmissionDate" queryTableFieldId="6" dataDxfId="20"/>
    <tableColumn id="7" xr3:uid="{B7F0C429-2251-4391-86E3-AB7072BB9C31}" uniqueName="7" name="DischargeDate" queryTableFieldId="7" dataDxfId="19"/>
    <tableColumn id="12" xr3:uid="{7BF9281A-3FA0-40EE-A50C-9BCE7E09BA74}" uniqueName="12" name="stay" queryTableFieldId="12" dataDxfId="18">
      <calculatedColumnFormula>_xlfn.DAYS(patients[[#This Row],[DischargeDate]],patients[[#This Row],[AdmissionDate]])</calculatedColumnFormula>
    </tableColumn>
    <tableColumn id="8" xr3:uid="{68791CB6-900C-45D5-8BCD-08382B3EC07C}" uniqueName="8" name="OutcomeID" queryTableFieldId="8"/>
    <tableColumn id="13" xr3:uid="{9BE3B8FD-8AD0-4A0D-B305-0C5B33C545D4}" uniqueName="13" name="status" queryTableFieldId="13" dataDxfId="17">
      <calculatedColumnFormula>VLOOKUP(patients[[#This Row],[OutcomeID]],outcomes[],2)</calculatedColumnFormula>
    </tableColumn>
    <tableColumn id="9" xr3:uid="{25ABEE37-7C5D-41A9-9B5E-082D933AC12B}" uniqueName="9" name="TreatmentCost" queryTableFieldId="9"/>
    <tableColumn id="11" xr3:uid="{12971319-DB47-4A00-B06C-D98088A5BABB}" uniqueName="11" name="test perform" queryTableFieldId="11" dataDxfId="16">
      <calculatedColumnFormula>VLOOKUP(patients[[#This Row],[PatientID]],labs[[LabID]:[TestName]],3)</calculatedColumnFormula>
    </tableColumn>
    <tableColumn id="14" xr3:uid="{9E76B302-683C-4925-924B-346AA8A922DB}" uniqueName="14" name="result" queryTableFieldId="14" dataDxfId="15">
      <calculatedColumnFormula>VLOOKUP(patients[[#This Row],[PatientID]],labs[],4)</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2AC9C-4A28-4A23-A6FA-8FC61939F5FE}">
  <sheetPr codeName="Sheet1"/>
  <dimension ref="A1:F201"/>
  <sheetViews>
    <sheetView topLeftCell="A171" workbookViewId="0">
      <selection activeCell="S194" sqref="S194"/>
    </sheetView>
  </sheetViews>
  <sheetFormatPr defaultRowHeight="14.4" x14ac:dyDescent="0.3"/>
  <cols>
    <col min="1" max="1" width="8" bestFit="1" customWidth="1"/>
    <col min="2" max="2" width="11" bestFit="1" customWidth="1"/>
    <col min="3" max="3" width="13.21875" bestFit="1" customWidth="1"/>
    <col min="4" max="4" width="8.33203125" bestFit="1" customWidth="1"/>
    <col min="5" max="5" width="14.6640625" bestFit="1" customWidth="1"/>
  </cols>
  <sheetData>
    <row r="1" spans="1:6" x14ac:dyDescent="0.3">
      <c r="A1" t="s">
        <v>227</v>
      </c>
      <c r="B1" t="s">
        <v>1</v>
      </c>
      <c r="C1" t="s">
        <v>228</v>
      </c>
      <c r="D1" t="s">
        <v>229</v>
      </c>
      <c r="E1" t="s">
        <v>230</v>
      </c>
      <c r="F1" t="s">
        <v>0</v>
      </c>
    </row>
    <row r="2" spans="1:6" x14ac:dyDescent="0.3">
      <c r="A2">
        <v>1</v>
      </c>
      <c r="B2">
        <v>196</v>
      </c>
      <c r="C2" t="s">
        <v>231</v>
      </c>
      <c r="D2">
        <v>89.7</v>
      </c>
      <c r="E2" t="s">
        <v>232</v>
      </c>
      <c r="F2" t="str">
        <f>IF(labs[[#This Row],[Result]]&gt;=labs[[#This Row],[NormalRange]],"good","bad")</f>
        <v>bad</v>
      </c>
    </row>
    <row r="3" spans="1:6" x14ac:dyDescent="0.3">
      <c r="A3">
        <v>2</v>
      </c>
      <c r="B3">
        <v>165</v>
      </c>
      <c r="C3" t="s">
        <v>233</v>
      </c>
      <c r="D3">
        <v>270.2</v>
      </c>
      <c r="E3" t="s">
        <v>234</v>
      </c>
      <c r="F3" t="str">
        <f>IF(labs[[#This Row],[Result]]&gt;=labs[[#This Row],[NormalRange]],"good","bad")</f>
        <v>bad</v>
      </c>
    </row>
    <row r="4" spans="1:6" x14ac:dyDescent="0.3">
      <c r="A4">
        <v>3</v>
      </c>
      <c r="B4">
        <v>182</v>
      </c>
      <c r="C4" t="s">
        <v>231</v>
      </c>
      <c r="D4">
        <v>268</v>
      </c>
      <c r="E4" t="s">
        <v>235</v>
      </c>
      <c r="F4" t="str">
        <f>IF(labs[[#This Row],[Result]]&gt;=labs[[#This Row],[NormalRange]],"good","bad")</f>
        <v>bad</v>
      </c>
    </row>
    <row r="5" spans="1:6" x14ac:dyDescent="0.3">
      <c r="A5">
        <v>4</v>
      </c>
      <c r="B5">
        <v>142</v>
      </c>
      <c r="C5" t="s">
        <v>233</v>
      </c>
      <c r="D5">
        <v>57.3</v>
      </c>
      <c r="E5" t="s">
        <v>232</v>
      </c>
      <c r="F5" t="str">
        <f>IF(labs[[#This Row],[Result]]&gt;=labs[[#This Row],[NormalRange]],"good","bad")</f>
        <v>bad</v>
      </c>
    </row>
    <row r="6" spans="1:6" x14ac:dyDescent="0.3">
      <c r="A6">
        <v>5</v>
      </c>
      <c r="B6">
        <v>55</v>
      </c>
      <c r="C6" t="s">
        <v>236</v>
      </c>
      <c r="D6">
        <v>256.5</v>
      </c>
      <c r="E6" t="s">
        <v>237</v>
      </c>
      <c r="F6" t="str">
        <f>IF(labs[[#This Row],[Result]]&gt;=labs[[#This Row],[NormalRange]],"good","bad")</f>
        <v>bad</v>
      </c>
    </row>
    <row r="7" spans="1:6" x14ac:dyDescent="0.3">
      <c r="A7">
        <v>6</v>
      </c>
      <c r="B7">
        <v>176</v>
      </c>
      <c r="C7" t="s">
        <v>238</v>
      </c>
      <c r="D7">
        <v>82.2</v>
      </c>
      <c r="E7" t="s">
        <v>237</v>
      </c>
      <c r="F7" t="str">
        <f>IF(labs[[#This Row],[Result]]&gt;=labs[[#This Row],[NormalRange]],"good","bad")</f>
        <v>bad</v>
      </c>
    </row>
    <row r="8" spans="1:6" x14ac:dyDescent="0.3">
      <c r="A8">
        <v>7</v>
      </c>
      <c r="B8">
        <v>7</v>
      </c>
      <c r="C8" t="s">
        <v>231</v>
      </c>
      <c r="D8">
        <v>133.80000000000001</v>
      </c>
      <c r="E8" t="s">
        <v>232</v>
      </c>
      <c r="F8" t="str">
        <f>IF(labs[[#This Row],[Result]]&gt;=labs[[#This Row],[NormalRange]],"good","bad")</f>
        <v>bad</v>
      </c>
    </row>
    <row r="9" spans="1:6" x14ac:dyDescent="0.3">
      <c r="A9">
        <v>8</v>
      </c>
      <c r="B9">
        <v>74</v>
      </c>
      <c r="C9" t="s">
        <v>239</v>
      </c>
      <c r="D9">
        <v>235.9</v>
      </c>
      <c r="E9" t="s">
        <v>235</v>
      </c>
      <c r="F9" t="str">
        <f>IF(labs[[#This Row],[Result]]&gt;=labs[[#This Row],[NormalRange]],"good","bad")</f>
        <v>bad</v>
      </c>
    </row>
    <row r="10" spans="1:6" x14ac:dyDescent="0.3">
      <c r="A10">
        <v>9</v>
      </c>
      <c r="B10">
        <v>7</v>
      </c>
      <c r="C10" t="s">
        <v>239</v>
      </c>
      <c r="D10">
        <v>90.2</v>
      </c>
      <c r="E10" t="s">
        <v>240</v>
      </c>
      <c r="F10" t="str">
        <f>IF(labs[[#This Row],[Result]]&gt;=labs[[#This Row],[NormalRange]],"good","bad")</f>
        <v>bad</v>
      </c>
    </row>
    <row r="11" spans="1:6" x14ac:dyDescent="0.3">
      <c r="A11">
        <v>10</v>
      </c>
      <c r="B11">
        <v>161</v>
      </c>
      <c r="C11" t="s">
        <v>241</v>
      </c>
      <c r="D11">
        <v>254.5</v>
      </c>
      <c r="E11" t="s">
        <v>234</v>
      </c>
      <c r="F11" t="str">
        <f>IF(labs[[#This Row],[Result]]&gt;=labs[[#This Row],[NormalRange]],"good","bad")</f>
        <v>bad</v>
      </c>
    </row>
    <row r="12" spans="1:6" x14ac:dyDescent="0.3">
      <c r="A12">
        <v>11</v>
      </c>
      <c r="B12">
        <v>151</v>
      </c>
      <c r="C12" t="s">
        <v>233</v>
      </c>
      <c r="D12">
        <v>258</v>
      </c>
      <c r="E12" t="s">
        <v>237</v>
      </c>
      <c r="F12" t="str">
        <f>IF(labs[[#This Row],[Result]]&gt;=labs[[#This Row],[NormalRange]],"good","bad")</f>
        <v>bad</v>
      </c>
    </row>
    <row r="13" spans="1:6" x14ac:dyDescent="0.3">
      <c r="A13">
        <v>12</v>
      </c>
      <c r="B13">
        <v>85</v>
      </c>
      <c r="C13" t="s">
        <v>231</v>
      </c>
      <c r="D13">
        <v>176.9</v>
      </c>
      <c r="E13" t="s">
        <v>240</v>
      </c>
      <c r="F13" t="str">
        <f>IF(labs[[#This Row],[Result]]&gt;=labs[[#This Row],[NormalRange]],"good","bad")</f>
        <v>bad</v>
      </c>
    </row>
    <row r="14" spans="1:6" x14ac:dyDescent="0.3">
      <c r="A14">
        <v>13</v>
      </c>
      <c r="B14">
        <v>147</v>
      </c>
      <c r="C14" t="s">
        <v>241</v>
      </c>
      <c r="D14">
        <v>51.6</v>
      </c>
      <c r="E14" t="s">
        <v>232</v>
      </c>
      <c r="F14" t="str">
        <f>IF(labs[[#This Row],[Result]]&gt;=labs[[#This Row],[NormalRange]],"good","bad")</f>
        <v>bad</v>
      </c>
    </row>
    <row r="15" spans="1:6" x14ac:dyDescent="0.3">
      <c r="A15">
        <v>14</v>
      </c>
      <c r="B15">
        <v>112</v>
      </c>
      <c r="C15" t="s">
        <v>231</v>
      </c>
      <c r="D15">
        <v>121.8</v>
      </c>
      <c r="E15" t="s">
        <v>240</v>
      </c>
      <c r="F15" t="str">
        <f>IF(labs[[#This Row],[Result]]&gt;=labs[[#This Row],[NormalRange]],"good","bad")</f>
        <v>bad</v>
      </c>
    </row>
    <row r="16" spans="1:6" x14ac:dyDescent="0.3">
      <c r="A16">
        <v>15</v>
      </c>
      <c r="B16">
        <v>125</v>
      </c>
      <c r="C16" t="s">
        <v>233</v>
      </c>
      <c r="D16">
        <v>204.2</v>
      </c>
      <c r="E16" t="s">
        <v>242</v>
      </c>
      <c r="F16" t="str">
        <f>IF(labs[[#This Row],[Result]]&gt;=labs[[#This Row],[NormalRange]],"good","bad")</f>
        <v>bad</v>
      </c>
    </row>
    <row r="17" spans="1:6" x14ac:dyDescent="0.3">
      <c r="A17">
        <v>16</v>
      </c>
      <c r="B17">
        <v>147</v>
      </c>
      <c r="C17" t="s">
        <v>239</v>
      </c>
      <c r="D17">
        <v>295.3</v>
      </c>
      <c r="E17" t="s">
        <v>237</v>
      </c>
      <c r="F17" t="str">
        <f>IF(labs[[#This Row],[Result]]&gt;=labs[[#This Row],[NormalRange]],"good","bad")</f>
        <v>bad</v>
      </c>
    </row>
    <row r="18" spans="1:6" x14ac:dyDescent="0.3">
      <c r="A18">
        <v>17</v>
      </c>
      <c r="B18">
        <v>36</v>
      </c>
      <c r="C18" t="s">
        <v>236</v>
      </c>
      <c r="D18">
        <v>208</v>
      </c>
      <c r="E18" t="s">
        <v>232</v>
      </c>
      <c r="F18" t="str">
        <f>IF(labs[[#This Row],[Result]]&gt;=labs[[#This Row],[NormalRange]],"good","bad")</f>
        <v>bad</v>
      </c>
    </row>
    <row r="19" spans="1:6" x14ac:dyDescent="0.3">
      <c r="A19">
        <v>18</v>
      </c>
      <c r="B19">
        <v>29</v>
      </c>
      <c r="C19" t="s">
        <v>239</v>
      </c>
      <c r="D19">
        <v>115</v>
      </c>
      <c r="E19" t="s">
        <v>234</v>
      </c>
      <c r="F19" t="str">
        <f>IF(labs[[#This Row],[Result]]&gt;=labs[[#This Row],[NormalRange]],"good","bad")</f>
        <v>bad</v>
      </c>
    </row>
    <row r="20" spans="1:6" x14ac:dyDescent="0.3">
      <c r="A20">
        <v>19</v>
      </c>
      <c r="B20">
        <v>188</v>
      </c>
      <c r="C20" t="s">
        <v>241</v>
      </c>
      <c r="D20">
        <v>208.5</v>
      </c>
      <c r="E20" t="s">
        <v>235</v>
      </c>
      <c r="F20" t="str">
        <f>IF(labs[[#This Row],[Result]]&gt;=labs[[#This Row],[NormalRange]],"good","bad")</f>
        <v>bad</v>
      </c>
    </row>
    <row r="21" spans="1:6" x14ac:dyDescent="0.3">
      <c r="A21">
        <v>20</v>
      </c>
      <c r="B21">
        <v>82</v>
      </c>
      <c r="C21" t="s">
        <v>238</v>
      </c>
      <c r="D21">
        <v>185</v>
      </c>
      <c r="E21" t="s">
        <v>232</v>
      </c>
      <c r="F21" t="str">
        <f>IF(labs[[#This Row],[Result]]&gt;=labs[[#This Row],[NormalRange]],"good","bad")</f>
        <v>bad</v>
      </c>
    </row>
    <row r="22" spans="1:6" x14ac:dyDescent="0.3">
      <c r="A22">
        <v>21</v>
      </c>
      <c r="B22">
        <v>2</v>
      </c>
      <c r="C22" t="s">
        <v>236</v>
      </c>
      <c r="D22">
        <v>245</v>
      </c>
      <c r="E22" t="s">
        <v>234</v>
      </c>
      <c r="F22" t="str">
        <f>IF(labs[[#This Row],[Result]]&gt;=labs[[#This Row],[NormalRange]],"good","bad")</f>
        <v>bad</v>
      </c>
    </row>
    <row r="23" spans="1:6" x14ac:dyDescent="0.3">
      <c r="A23">
        <v>22</v>
      </c>
      <c r="B23">
        <v>129</v>
      </c>
      <c r="C23" t="s">
        <v>241</v>
      </c>
      <c r="D23">
        <v>76.7</v>
      </c>
      <c r="E23" t="s">
        <v>235</v>
      </c>
      <c r="F23" t="str">
        <f>IF(labs[[#This Row],[Result]]&gt;=labs[[#This Row],[NormalRange]],"good","bad")</f>
        <v>bad</v>
      </c>
    </row>
    <row r="24" spans="1:6" x14ac:dyDescent="0.3">
      <c r="A24">
        <v>23</v>
      </c>
      <c r="B24">
        <v>47</v>
      </c>
      <c r="C24" t="s">
        <v>233</v>
      </c>
      <c r="D24">
        <v>240.3</v>
      </c>
      <c r="E24" t="s">
        <v>235</v>
      </c>
      <c r="F24" t="str">
        <f>IF(labs[[#This Row],[Result]]&gt;=labs[[#This Row],[NormalRange]],"good","bad")</f>
        <v>bad</v>
      </c>
    </row>
    <row r="25" spans="1:6" x14ac:dyDescent="0.3">
      <c r="A25">
        <v>24</v>
      </c>
      <c r="B25">
        <v>197</v>
      </c>
      <c r="C25" t="s">
        <v>236</v>
      </c>
      <c r="D25">
        <v>185.3</v>
      </c>
      <c r="E25" t="s">
        <v>232</v>
      </c>
      <c r="F25" t="str">
        <f>IF(labs[[#This Row],[Result]]&gt;=labs[[#This Row],[NormalRange]],"good","bad")</f>
        <v>bad</v>
      </c>
    </row>
    <row r="26" spans="1:6" x14ac:dyDescent="0.3">
      <c r="A26">
        <v>25</v>
      </c>
      <c r="B26">
        <v>148</v>
      </c>
      <c r="C26" t="s">
        <v>241</v>
      </c>
      <c r="D26">
        <v>290.7</v>
      </c>
      <c r="E26" t="s">
        <v>240</v>
      </c>
      <c r="F26" t="str">
        <f>IF(labs[[#This Row],[Result]]&gt;=labs[[#This Row],[NormalRange]],"good","bad")</f>
        <v>bad</v>
      </c>
    </row>
    <row r="27" spans="1:6" x14ac:dyDescent="0.3">
      <c r="A27">
        <v>26</v>
      </c>
      <c r="B27">
        <v>11</v>
      </c>
      <c r="C27" t="s">
        <v>233</v>
      </c>
      <c r="D27">
        <v>135.5</v>
      </c>
      <c r="E27" t="s">
        <v>240</v>
      </c>
      <c r="F27" t="str">
        <f>IF(labs[[#This Row],[Result]]&gt;=labs[[#This Row],[NormalRange]],"good","bad")</f>
        <v>bad</v>
      </c>
    </row>
    <row r="28" spans="1:6" x14ac:dyDescent="0.3">
      <c r="A28">
        <v>27</v>
      </c>
      <c r="B28">
        <v>130</v>
      </c>
      <c r="C28" t="s">
        <v>239</v>
      </c>
      <c r="D28">
        <v>208.2</v>
      </c>
      <c r="E28" t="s">
        <v>235</v>
      </c>
      <c r="F28" t="str">
        <f>IF(labs[[#This Row],[Result]]&gt;=labs[[#This Row],[NormalRange]],"good","bad")</f>
        <v>bad</v>
      </c>
    </row>
    <row r="29" spans="1:6" x14ac:dyDescent="0.3">
      <c r="A29">
        <v>28</v>
      </c>
      <c r="B29">
        <v>195</v>
      </c>
      <c r="C29" t="s">
        <v>238</v>
      </c>
      <c r="D29">
        <v>283</v>
      </c>
      <c r="E29" t="s">
        <v>240</v>
      </c>
      <c r="F29" t="str">
        <f>IF(labs[[#This Row],[Result]]&gt;=labs[[#This Row],[NormalRange]],"good","bad")</f>
        <v>bad</v>
      </c>
    </row>
    <row r="30" spans="1:6" x14ac:dyDescent="0.3">
      <c r="A30">
        <v>29</v>
      </c>
      <c r="B30">
        <v>119</v>
      </c>
      <c r="C30" t="s">
        <v>233</v>
      </c>
      <c r="D30">
        <v>75.599999999999994</v>
      </c>
      <c r="E30" t="s">
        <v>242</v>
      </c>
      <c r="F30" t="str">
        <f>IF(labs[[#This Row],[Result]]&gt;=labs[[#This Row],[NormalRange]],"good","bad")</f>
        <v>bad</v>
      </c>
    </row>
    <row r="31" spans="1:6" x14ac:dyDescent="0.3">
      <c r="A31">
        <v>30</v>
      </c>
      <c r="B31">
        <v>140</v>
      </c>
      <c r="C31" t="s">
        <v>231</v>
      </c>
      <c r="D31">
        <v>284.3</v>
      </c>
      <c r="E31" t="s">
        <v>235</v>
      </c>
      <c r="F31" t="str">
        <f>IF(labs[[#This Row],[Result]]&gt;=labs[[#This Row],[NormalRange]],"good","bad")</f>
        <v>bad</v>
      </c>
    </row>
    <row r="32" spans="1:6" x14ac:dyDescent="0.3">
      <c r="A32">
        <v>31</v>
      </c>
      <c r="B32">
        <v>20</v>
      </c>
      <c r="C32" t="s">
        <v>233</v>
      </c>
      <c r="D32">
        <v>222</v>
      </c>
      <c r="E32" t="s">
        <v>235</v>
      </c>
      <c r="F32" t="str">
        <f>IF(labs[[#This Row],[Result]]&gt;=labs[[#This Row],[NormalRange]],"good","bad")</f>
        <v>bad</v>
      </c>
    </row>
    <row r="33" spans="1:6" x14ac:dyDescent="0.3">
      <c r="A33">
        <v>32</v>
      </c>
      <c r="B33">
        <v>5</v>
      </c>
      <c r="C33" t="s">
        <v>233</v>
      </c>
      <c r="D33">
        <v>67</v>
      </c>
      <c r="E33" t="s">
        <v>234</v>
      </c>
      <c r="F33" t="str">
        <f>IF(labs[[#This Row],[Result]]&gt;=labs[[#This Row],[NormalRange]],"good","bad")</f>
        <v>bad</v>
      </c>
    </row>
    <row r="34" spans="1:6" x14ac:dyDescent="0.3">
      <c r="A34">
        <v>33</v>
      </c>
      <c r="B34">
        <v>37</v>
      </c>
      <c r="C34" t="s">
        <v>238</v>
      </c>
      <c r="D34">
        <v>125.2</v>
      </c>
      <c r="E34" t="s">
        <v>240</v>
      </c>
      <c r="F34" t="str">
        <f>IF(labs[[#This Row],[Result]]&gt;=labs[[#This Row],[NormalRange]],"good","bad")</f>
        <v>bad</v>
      </c>
    </row>
    <row r="35" spans="1:6" x14ac:dyDescent="0.3">
      <c r="A35">
        <v>34</v>
      </c>
      <c r="B35">
        <v>166</v>
      </c>
      <c r="C35" t="s">
        <v>231</v>
      </c>
      <c r="D35">
        <v>227</v>
      </c>
      <c r="E35" t="s">
        <v>235</v>
      </c>
      <c r="F35" t="str">
        <f>IF(labs[[#This Row],[Result]]&gt;=labs[[#This Row],[NormalRange]],"good","bad")</f>
        <v>bad</v>
      </c>
    </row>
    <row r="36" spans="1:6" x14ac:dyDescent="0.3">
      <c r="A36">
        <v>35</v>
      </c>
      <c r="B36">
        <v>137</v>
      </c>
      <c r="C36" t="s">
        <v>241</v>
      </c>
      <c r="D36">
        <v>66.8</v>
      </c>
      <c r="E36" t="s">
        <v>242</v>
      </c>
      <c r="F36" t="str">
        <f>IF(labs[[#This Row],[Result]]&gt;=labs[[#This Row],[NormalRange]],"good","bad")</f>
        <v>bad</v>
      </c>
    </row>
    <row r="37" spans="1:6" x14ac:dyDescent="0.3">
      <c r="A37">
        <v>36</v>
      </c>
      <c r="B37">
        <v>53</v>
      </c>
      <c r="C37" t="s">
        <v>241</v>
      </c>
      <c r="D37">
        <v>195.5</v>
      </c>
      <c r="E37" t="s">
        <v>234</v>
      </c>
      <c r="F37" t="str">
        <f>IF(labs[[#This Row],[Result]]&gt;=labs[[#This Row],[NormalRange]],"good","bad")</f>
        <v>bad</v>
      </c>
    </row>
    <row r="38" spans="1:6" x14ac:dyDescent="0.3">
      <c r="A38">
        <v>37</v>
      </c>
      <c r="B38">
        <v>172</v>
      </c>
      <c r="C38" t="s">
        <v>233</v>
      </c>
      <c r="D38">
        <v>136.5</v>
      </c>
      <c r="E38" t="s">
        <v>232</v>
      </c>
      <c r="F38" t="str">
        <f>IF(labs[[#This Row],[Result]]&gt;=labs[[#This Row],[NormalRange]],"good","bad")</f>
        <v>bad</v>
      </c>
    </row>
    <row r="39" spans="1:6" x14ac:dyDescent="0.3">
      <c r="A39">
        <v>38</v>
      </c>
      <c r="B39">
        <v>99</v>
      </c>
      <c r="C39" t="s">
        <v>231</v>
      </c>
      <c r="D39">
        <v>205.2</v>
      </c>
      <c r="E39" t="s">
        <v>235</v>
      </c>
      <c r="F39" t="str">
        <f>IF(labs[[#This Row],[Result]]&gt;=labs[[#This Row],[NormalRange]],"good","bad")</f>
        <v>bad</v>
      </c>
    </row>
    <row r="40" spans="1:6" x14ac:dyDescent="0.3">
      <c r="A40">
        <v>39</v>
      </c>
      <c r="B40">
        <v>86</v>
      </c>
      <c r="C40" t="s">
        <v>231</v>
      </c>
      <c r="D40">
        <v>61.4</v>
      </c>
      <c r="E40" t="s">
        <v>242</v>
      </c>
      <c r="F40" t="str">
        <f>IF(labs[[#This Row],[Result]]&gt;=labs[[#This Row],[NormalRange]],"good","bad")</f>
        <v>bad</v>
      </c>
    </row>
    <row r="41" spans="1:6" x14ac:dyDescent="0.3">
      <c r="A41">
        <v>40</v>
      </c>
      <c r="B41">
        <v>108</v>
      </c>
      <c r="C41" t="s">
        <v>238</v>
      </c>
      <c r="D41">
        <v>267.89999999999998</v>
      </c>
      <c r="E41" t="s">
        <v>237</v>
      </c>
      <c r="F41" t="str">
        <f>IF(labs[[#This Row],[Result]]&gt;=labs[[#This Row],[NormalRange]],"good","bad")</f>
        <v>bad</v>
      </c>
    </row>
    <row r="42" spans="1:6" x14ac:dyDescent="0.3">
      <c r="A42">
        <v>41</v>
      </c>
      <c r="B42">
        <v>24</v>
      </c>
      <c r="C42" t="s">
        <v>239</v>
      </c>
      <c r="D42">
        <v>293.39999999999998</v>
      </c>
      <c r="E42" t="s">
        <v>242</v>
      </c>
      <c r="F42" t="str">
        <f>IF(labs[[#This Row],[Result]]&gt;=labs[[#This Row],[NormalRange]],"good","bad")</f>
        <v>bad</v>
      </c>
    </row>
    <row r="43" spans="1:6" x14ac:dyDescent="0.3">
      <c r="A43">
        <v>42</v>
      </c>
      <c r="B43">
        <v>81</v>
      </c>
      <c r="C43" t="s">
        <v>241</v>
      </c>
      <c r="D43">
        <v>292.2</v>
      </c>
      <c r="E43" t="s">
        <v>242</v>
      </c>
      <c r="F43" t="str">
        <f>IF(labs[[#This Row],[Result]]&gt;=labs[[#This Row],[NormalRange]],"good","bad")</f>
        <v>bad</v>
      </c>
    </row>
    <row r="44" spans="1:6" x14ac:dyDescent="0.3">
      <c r="A44">
        <v>43</v>
      </c>
      <c r="B44">
        <v>158</v>
      </c>
      <c r="C44" t="s">
        <v>238</v>
      </c>
      <c r="D44">
        <v>237.4</v>
      </c>
      <c r="E44" t="s">
        <v>234</v>
      </c>
      <c r="F44" t="str">
        <f>IF(labs[[#This Row],[Result]]&gt;=labs[[#This Row],[NormalRange]],"good","bad")</f>
        <v>bad</v>
      </c>
    </row>
    <row r="45" spans="1:6" x14ac:dyDescent="0.3">
      <c r="A45">
        <v>44</v>
      </c>
      <c r="B45">
        <v>120</v>
      </c>
      <c r="C45" t="s">
        <v>236</v>
      </c>
      <c r="D45">
        <v>82.5</v>
      </c>
      <c r="E45" t="s">
        <v>232</v>
      </c>
      <c r="F45" t="str">
        <f>IF(labs[[#This Row],[Result]]&gt;=labs[[#This Row],[NormalRange]],"good","bad")</f>
        <v>bad</v>
      </c>
    </row>
    <row r="46" spans="1:6" x14ac:dyDescent="0.3">
      <c r="A46">
        <v>45</v>
      </c>
      <c r="B46">
        <v>59</v>
      </c>
      <c r="C46" t="s">
        <v>241</v>
      </c>
      <c r="D46">
        <v>239.6</v>
      </c>
      <c r="E46" t="s">
        <v>237</v>
      </c>
      <c r="F46" t="str">
        <f>IF(labs[[#This Row],[Result]]&gt;=labs[[#This Row],[NormalRange]],"good","bad")</f>
        <v>bad</v>
      </c>
    </row>
    <row r="47" spans="1:6" x14ac:dyDescent="0.3">
      <c r="A47">
        <v>46</v>
      </c>
      <c r="B47">
        <v>128</v>
      </c>
      <c r="C47" t="s">
        <v>238</v>
      </c>
      <c r="D47">
        <v>56.1</v>
      </c>
      <c r="E47" t="s">
        <v>240</v>
      </c>
      <c r="F47" t="str">
        <f>IF(labs[[#This Row],[Result]]&gt;=labs[[#This Row],[NormalRange]],"good","bad")</f>
        <v>bad</v>
      </c>
    </row>
    <row r="48" spans="1:6" x14ac:dyDescent="0.3">
      <c r="A48">
        <v>47</v>
      </c>
      <c r="B48">
        <v>114</v>
      </c>
      <c r="C48" t="s">
        <v>241</v>
      </c>
      <c r="D48">
        <v>55.5</v>
      </c>
      <c r="E48" t="s">
        <v>240</v>
      </c>
      <c r="F48" t="str">
        <f>IF(labs[[#This Row],[Result]]&gt;=labs[[#This Row],[NormalRange]],"good","bad")</f>
        <v>bad</v>
      </c>
    </row>
    <row r="49" spans="1:6" x14ac:dyDescent="0.3">
      <c r="A49">
        <v>48</v>
      </c>
      <c r="B49">
        <v>115</v>
      </c>
      <c r="C49" t="s">
        <v>239</v>
      </c>
      <c r="D49">
        <v>130.9</v>
      </c>
      <c r="E49" t="s">
        <v>242</v>
      </c>
      <c r="F49" t="str">
        <f>IF(labs[[#This Row],[Result]]&gt;=labs[[#This Row],[NormalRange]],"good","bad")</f>
        <v>bad</v>
      </c>
    </row>
    <row r="50" spans="1:6" x14ac:dyDescent="0.3">
      <c r="A50">
        <v>49</v>
      </c>
      <c r="B50">
        <v>14</v>
      </c>
      <c r="C50" t="s">
        <v>236</v>
      </c>
      <c r="D50">
        <v>172.2</v>
      </c>
      <c r="E50" t="s">
        <v>234</v>
      </c>
      <c r="F50" t="str">
        <f>IF(labs[[#This Row],[Result]]&gt;=labs[[#This Row],[NormalRange]],"good","bad")</f>
        <v>bad</v>
      </c>
    </row>
    <row r="51" spans="1:6" x14ac:dyDescent="0.3">
      <c r="A51">
        <v>50</v>
      </c>
      <c r="B51">
        <v>9</v>
      </c>
      <c r="C51" t="s">
        <v>239</v>
      </c>
      <c r="D51">
        <v>242.6</v>
      </c>
      <c r="E51" t="s">
        <v>234</v>
      </c>
      <c r="F51" t="str">
        <f>IF(labs[[#This Row],[Result]]&gt;=labs[[#This Row],[NormalRange]],"good","bad")</f>
        <v>bad</v>
      </c>
    </row>
    <row r="52" spans="1:6" x14ac:dyDescent="0.3">
      <c r="A52">
        <v>51</v>
      </c>
      <c r="B52">
        <v>40</v>
      </c>
      <c r="C52" t="s">
        <v>236</v>
      </c>
      <c r="D52">
        <v>220.8</v>
      </c>
      <c r="E52" t="s">
        <v>240</v>
      </c>
      <c r="F52" t="str">
        <f>IF(labs[[#This Row],[Result]]&gt;=labs[[#This Row],[NormalRange]],"good","bad")</f>
        <v>bad</v>
      </c>
    </row>
    <row r="53" spans="1:6" x14ac:dyDescent="0.3">
      <c r="A53">
        <v>52</v>
      </c>
      <c r="B53">
        <v>194</v>
      </c>
      <c r="C53" t="s">
        <v>233</v>
      </c>
      <c r="D53">
        <v>161.5</v>
      </c>
      <c r="E53" t="s">
        <v>237</v>
      </c>
      <c r="F53" t="str">
        <f>IF(labs[[#This Row],[Result]]&gt;=labs[[#This Row],[NormalRange]],"good","bad")</f>
        <v>bad</v>
      </c>
    </row>
    <row r="54" spans="1:6" x14ac:dyDescent="0.3">
      <c r="A54">
        <v>53</v>
      </c>
      <c r="B54">
        <v>25</v>
      </c>
      <c r="C54" t="s">
        <v>238</v>
      </c>
      <c r="D54">
        <v>118.4</v>
      </c>
      <c r="E54" t="s">
        <v>232</v>
      </c>
      <c r="F54" t="str">
        <f>IF(labs[[#This Row],[Result]]&gt;=labs[[#This Row],[NormalRange]],"good","bad")</f>
        <v>bad</v>
      </c>
    </row>
    <row r="55" spans="1:6" x14ac:dyDescent="0.3">
      <c r="A55">
        <v>54</v>
      </c>
      <c r="B55">
        <v>103</v>
      </c>
      <c r="C55" t="s">
        <v>236</v>
      </c>
      <c r="D55">
        <v>299.3</v>
      </c>
      <c r="E55" t="s">
        <v>237</v>
      </c>
      <c r="F55" t="str">
        <f>IF(labs[[#This Row],[Result]]&gt;=labs[[#This Row],[NormalRange]],"good","bad")</f>
        <v>bad</v>
      </c>
    </row>
    <row r="56" spans="1:6" x14ac:dyDescent="0.3">
      <c r="A56">
        <v>55</v>
      </c>
      <c r="B56">
        <v>22</v>
      </c>
      <c r="C56" t="s">
        <v>239</v>
      </c>
      <c r="D56">
        <v>156.5</v>
      </c>
      <c r="E56" t="s">
        <v>235</v>
      </c>
      <c r="F56" t="str">
        <f>IF(labs[[#This Row],[Result]]&gt;=labs[[#This Row],[NormalRange]],"good","bad")</f>
        <v>bad</v>
      </c>
    </row>
    <row r="57" spans="1:6" x14ac:dyDescent="0.3">
      <c r="A57">
        <v>56</v>
      </c>
      <c r="B57">
        <v>4</v>
      </c>
      <c r="C57" t="s">
        <v>241</v>
      </c>
      <c r="D57">
        <v>162.80000000000001</v>
      </c>
      <c r="E57" t="s">
        <v>235</v>
      </c>
      <c r="F57" t="str">
        <f>IF(labs[[#This Row],[Result]]&gt;=labs[[#This Row],[NormalRange]],"good","bad")</f>
        <v>bad</v>
      </c>
    </row>
    <row r="58" spans="1:6" x14ac:dyDescent="0.3">
      <c r="A58">
        <v>57</v>
      </c>
      <c r="B58">
        <v>154</v>
      </c>
      <c r="C58" t="s">
        <v>236</v>
      </c>
      <c r="D58">
        <v>90.9</v>
      </c>
      <c r="E58" t="s">
        <v>232</v>
      </c>
      <c r="F58" t="str">
        <f>IF(labs[[#This Row],[Result]]&gt;=labs[[#This Row],[NormalRange]],"good","bad")</f>
        <v>bad</v>
      </c>
    </row>
    <row r="59" spans="1:6" x14ac:dyDescent="0.3">
      <c r="A59">
        <v>58</v>
      </c>
      <c r="B59">
        <v>186</v>
      </c>
      <c r="C59" t="s">
        <v>238</v>
      </c>
      <c r="D59">
        <v>248.7</v>
      </c>
      <c r="E59" t="s">
        <v>240</v>
      </c>
      <c r="F59" t="str">
        <f>IF(labs[[#This Row],[Result]]&gt;=labs[[#This Row],[NormalRange]],"good","bad")</f>
        <v>bad</v>
      </c>
    </row>
    <row r="60" spans="1:6" x14ac:dyDescent="0.3">
      <c r="A60">
        <v>59</v>
      </c>
      <c r="B60">
        <v>29</v>
      </c>
      <c r="C60" t="s">
        <v>236</v>
      </c>
      <c r="D60">
        <v>223.4</v>
      </c>
      <c r="E60" t="s">
        <v>232</v>
      </c>
      <c r="F60" t="str">
        <f>IF(labs[[#This Row],[Result]]&gt;=labs[[#This Row],[NormalRange]],"good","bad")</f>
        <v>bad</v>
      </c>
    </row>
    <row r="61" spans="1:6" x14ac:dyDescent="0.3">
      <c r="A61">
        <v>60</v>
      </c>
      <c r="B61">
        <v>109</v>
      </c>
      <c r="C61" t="s">
        <v>231</v>
      </c>
      <c r="D61">
        <v>105.2</v>
      </c>
      <c r="E61" t="s">
        <v>234</v>
      </c>
      <c r="F61" t="str">
        <f>IF(labs[[#This Row],[Result]]&gt;=labs[[#This Row],[NormalRange]],"good","bad")</f>
        <v>bad</v>
      </c>
    </row>
    <row r="62" spans="1:6" x14ac:dyDescent="0.3">
      <c r="A62">
        <v>61</v>
      </c>
      <c r="B62">
        <v>98</v>
      </c>
      <c r="C62" t="s">
        <v>241</v>
      </c>
      <c r="D62">
        <v>70.599999999999994</v>
      </c>
      <c r="E62" t="s">
        <v>235</v>
      </c>
      <c r="F62" t="str">
        <f>IF(labs[[#This Row],[Result]]&gt;=labs[[#This Row],[NormalRange]],"good","bad")</f>
        <v>bad</v>
      </c>
    </row>
    <row r="63" spans="1:6" x14ac:dyDescent="0.3">
      <c r="A63">
        <v>62</v>
      </c>
      <c r="B63">
        <v>37</v>
      </c>
      <c r="C63" t="s">
        <v>238</v>
      </c>
      <c r="D63">
        <v>220.1</v>
      </c>
      <c r="E63" t="s">
        <v>242</v>
      </c>
      <c r="F63" t="str">
        <f>IF(labs[[#This Row],[Result]]&gt;=labs[[#This Row],[NormalRange]],"good","bad")</f>
        <v>bad</v>
      </c>
    </row>
    <row r="64" spans="1:6" x14ac:dyDescent="0.3">
      <c r="A64">
        <v>63</v>
      </c>
      <c r="B64">
        <v>75</v>
      </c>
      <c r="C64" t="s">
        <v>238</v>
      </c>
      <c r="D64">
        <v>213.6</v>
      </c>
      <c r="E64" t="s">
        <v>242</v>
      </c>
      <c r="F64" t="str">
        <f>IF(labs[[#This Row],[Result]]&gt;=labs[[#This Row],[NormalRange]],"good","bad")</f>
        <v>bad</v>
      </c>
    </row>
    <row r="65" spans="1:6" x14ac:dyDescent="0.3">
      <c r="A65">
        <v>64</v>
      </c>
      <c r="B65">
        <v>70</v>
      </c>
      <c r="C65" t="s">
        <v>233</v>
      </c>
      <c r="D65">
        <v>118.3</v>
      </c>
      <c r="E65" t="s">
        <v>240</v>
      </c>
      <c r="F65" t="str">
        <f>IF(labs[[#This Row],[Result]]&gt;=labs[[#This Row],[NormalRange]],"good","bad")</f>
        <v>bad</v>
      </c>
    </row>
    <row r="66" spans="1:6" x14ac:dyDescent="0.3">
      <c r="A66">
        <v>65</v>
      </c>
      <c r="B66">
        <v>146</v>
      </c>
      <c r="C66" t="s">
        <v>239</v>
      </c>
      <c r="D66">
        <v>287.7</v>
      </c>
      <c r="E66" t="s">
        <v>234</v>
      </c>
      <c r="F66" t="str">
        <f>IF(labs[[#This Row],[Result]]&gt;=labs[[#This Row],[NormalRange]],"good","bad")</f>
        <v>bad</v>
      </c>
    </row>
    <row r="67" spans="1:6" x14ac:dyDescent="0.3">
      <c r="A67">
        <v>66</v>
      </c>
      <c r="B67">
        <v>128</v>
      </c>
      <c r="C67" t="s">
        <v>233</v>
      </c>
      <c r="D67">
        <v>87.8</v>
      </c>
      <c r="E67" t="s">
        <v>237</v>
      </c>
      <c r="F67" t="str">
        <f>IF(labs[[#This Row],[Result]]&gt;=labs[[#This Row],[NormalRange]],"good","bad")</f>
        <v>bad</v>
      </c>
    </row>
    <row r="68" spans="1:6" x14ac:dyDescent="0.3">
      <c r="A68">
        <v>67</v>
      </c>
      <c r="B68">
        <v>85</v>
      </c>
      <c r="C68" t="s">
        <v>238</v>
      </c>
      <c r="D68">
        <v>158.1</v>
      </c>
      <c r="E68" t="s">
        <v>234</v>
      </c>
      <c r="F68" t="str">
        <f>IF(labs[[#This Row],[Result]]&gt;=labs[[#This Row],[NormalRange]],"good","bad")</f>
        <v>bad</v>
      </c>
    </row>
    <row r="69" spans="1:6" x14ac:dyDescent="0.3">
      <c r="A69">
        <v>68</v>
      </c>
      <c r="B69">
        <v>42</v>
      </c>
      <c r="C69" t="s">
        <v>241</v>
      </c>
      <c r="D69">
        <v>285.89999999999998</v>
      </c>
      <c r="E69" t="s">
        <v>242</v>
      </c>
      <c r="F69" t="str">
        <f>IF(labs[[#This Row],[Result]]&gt;=labs[[#This Row],[NormalRange]],"good","bad")</f>
        <v>bad</v>
      </c>
    </row>
    <row r="70" spans="1:6" x14ac:dyDescent="0.3">
      <c r="A70">
        <v>69</v>
      </c>
      <c r="B70">
        <v>100</v>
      </c>
      <c r="C70" t="s">
        <v>236</v>
      </c>
      <c r="D70">
        <v>154.9</v>
      </c>
      <c r="E70" t="s">
        <v>242</v>
      </c>
      <c r="F70" t="str">
        <f>IF(labs[[#This Row],[Result]]&gt;=labs[[#This Row],[NormalRange]],"good","bad")</f>
        <v>bad</v>
      </c>
    </row>
    <row r="71" spans="1:6" x14ac:dyDescent="0.3">
      <c r="A71">
        <v>70</v>
      </c>
      <c r="B71">
        <v>41</v>
      </c>
      <c r="C71" t="s">
        <v>236</v>
      </c>
      <c r="D71">
        <v>209.6</v>
      </c>
      <c r="E71" t="s">
        <v>235</v>
      </c>
      <c r="F71" t="str">
        <f>IF(labs[[#This Row],[Result]]&gt;=labs[[#This Row],[NormalRange]],"good","bad")</f>
        <v>bad</v>
      </c>
    </row>
    <row r="72" spans="1:6" x14ac:dyDescent="0.3">
      <c r="A72">
        <v>71</v>
      </c>
      <c r="B72">
        <v>166</v>
      </c>
      <c r="C72" t="s">
        <v>241</v>
      </c>
      <c r="D72">
        <v>149.4</v>
      </c>
      <c r="E72" t="s">
        <v>234</v>
      </c>
      <c r="F72" t="str">
        <f>IF(labs[[#This Row],[Result]]&gt;=labs[[#This Row],[NormalRange]],"good","bad")</f>
        <v>bad</v>
      </c>
    </row>
    <row r="73" spans="1:6" x14ac:dyDescent="0.3">
      <c r="A73">
        <v>72</v>
      </c>
      <c r="B73">
        <v>34</v>
      </c>
      <c r="C73" t="s">
        <v>238</v>
      </c>
      <c r="D73">
        <v>118.6</v>
      </c>
      <c r="E73" t="s">
        <v>234</v>
      </c>
      <c r="F73" t="str">
        <f>IF(labs[[#This Row],[Result]]&gt;=labs[[#This Row],[NormalRange]],"good","bad")</f>
        <v>bad</v>
      </c>
    </row>
    <row r="74" spans="1:6" x14ac:dyDescent="0.3">
      <c r="A74">
        <v>73</v>
      </c>
      <c r="B74">
        <v>17</v>
      </c>
      <c r="C74" t="s">
        <v>236</v>
      </c>
      <c r="D74">
        <v>296</v>
      </c>
      <c r="E74" t="s">
        <v>242</v>
      </c>
      <c r="F74" t="str">
        <f>IF(labs[[#This Row],[Result]]&gt;=labs[[#This Row],[NormalRange]],"good","bad")</f>
        <v>bad</v>
      </c>
    </row>
    <row r="75" spans="1:6" x14ac:dyDescent="0.3">
      <c r="A75">
        <v>74</v>
      </c>
      <c r="B75">
        <v>165</v>
      </c>
      <c r="C75" t="s">
        <v>236</v>
      </c>
      <c r="D75">
        <v>152.30000000000001</v>
      </c>
      <c r="E75" t="s">
        <v>237</v>
      </c>
      <c r="F75" t="str">
        <f>IF(labs[[#This Row],[Result]]&gt;=labs[[#This Row],[NormalRange]],"good","bad")</f>
        <v>bad</v>
      </c>
    </row>
    <row r="76" spans="1:6" x14ac:dyDescent="0.3">
      <c r="A76">
        <v>75</v>
      </c>
      <c r="B76">
        <v>153</v>
      </c>
      <c r="C76" t="s">
        <v>236</v>
      </c>
      <c r="D76">
        <v>273.5</v>
      </c>
      <c r="E76" t="s">
        <v>240</v>
      </c>
      <c r="F76" t="str">
        <f>IF(labs[[#This Row],[Result]]&gt;=labs[[#This Row],[NormalRange]],"good","bad")</f>
        <v>bad</v>
      </c>
    </row>
    <row r="77" spans="1:6" x14ac:dyDescent="0.3">
      <c r="A77">
        <v>76</v>
      </c>
      <c r="B77">
        <v>122</v>
      </c>
      <c r="C77" t="s">
        <v>239</v>
      </c>
      <c r="D77">
        <v>107.5</v>
      </c>
      <c r="E77" t="s">
        <v>240</v>
      </c>
      <c r="F77" t="str">
        <f>IF(labs[[#This Row],[Result]]&gt;=labs[[#This Row],[NormalRange]],"good","bad")</f>
        <v>bad</v>
      </c>
    </row>
    <row r="78" spans="1:6" x14ac:dyDescent="0.3">
      <c r="A78">
        <v>77</v>
      </c>
      <c r="B78">
        <v>76</v>
      </c>
      <c r="C78" t="s">
        <v>239</v>
      </c>
      <c r="D78">
        <v>103.3</v>
      </c>
      <c r="E78" t="s">
        <v>234</v>
      </c>
      <c r="F78" t="str">
        <f>IF(labs[[#This Row],[Result]]&gt;=labs[[#This Row],[NormalRange]],"good","bad")</f>
        <v>bad</v>
      </c>
    </row>
    <row r="79" spans="1:6" x14ac:dyDescent="0.3">
      <c r="A79">
        <v>78</v>
      </c>
      <c r="B79">
        <v>87</v>
      </c>
      <c r="C79" t="s">
        <v>231</v>
      </c>
      <c r="D79">
        <v>57.8</v>
      </c>
      <c r="E79" t="s">
        <v>240</v>
      </c>
      <c r="F79" t="str">
        <f>IF(labs[[#This Row],[Result]]&gt;=labs[[#This Row],[NormalRange]],"good","bad")</f>
        <v>bad</v>
      </c>
    </row>
    <row r="80" spans="1:6" x14ac:dyDescent="0.3">
      <c r="A80">
        <v>79</v>
      </c>
      <c r="B80">
        <v>117</v>
      </c>
      <c r="C80" t="s">
        <v>233</v>
      </c>
      <c r="D80">
        <v>212.9</v>
      </c>
      <c r="E80" t="s">
        <v>242</v>
      </c>
      <c r="F80" t="str">
        <f>IF(labs[[#This Row],[Result]]&gt;=labs[[#This Row],[NormalRange]],"good","bad")</f>
        <v>bad</v>
      </c>
    </row>
    <row r="81" spans="1:6" x14ac:dyDescent="0.3">
      <c r="A81">
        <v>80</v>
      </c>
      <c r="B81">
        <v>106</v>
      </c>
      <c r="C81" t="s">
        <v>241</v>
      </c>
      <c r="D81">
        <v>142.1</v>
      </c>
      <c r="E81" t="s">
        <v>242</v>
      </c>
      <c r="F81" t="str">
        <f>IF(labs[[#This Row],[Result]]&gt;=labs[[#This Row],[NormalRange]],"good","bad")</f>
        <v>bad</v>
      </c>
    </row>
    <row r="82" spans="1:6" x14ac:dyDescent="0.3">
      <c r="A82">
        <v>81</v>
      </c>
      <c r="B82">
        <v>86</v>
      </c>
      <c r="C82" t="s">
        <v>241</v>
      </c>
      <c r="D82">
        <v>266.10000000000002</v>
      </c>
      <c r="E82" t="s">
        <v>234</v>
      </c>
      <c r="F82" t="str">
        <f>IF(labs[[#This Row],[Result]]&gt;=labs[[#This Row],[NormalRange]],"good","bad")</f>
        <v>bad</v>
      </c>
    </row>
    <row r="83" spans="1:6" x14ac:dyDescent="0.3">
      <c r="A83">
        <v>82</v>
      </c>
      <c r="B83">
        <v>27</v>
      </c>
      <c r="C83" t="s">
        <v>241</v>
      </c>
      <c r="D83">
        <v>168.3</v>
      </c>
      <c r="E83" t="s">
        <v>234</v>
      </c>
      <c r="F83" t="str">
        <f>IF(labs[[#This Row],[Result]]&gt;=labs[[#This Row],[NormalRange]],"good","bad")</f>
        <v>bad</v>
      </c>
    </row>
    <row r="84" spans="1:6" x14ac:dyDescent="0.3">
      <c r="A84">
        <v>83</v>
      </c>
      <c r="B84">
        <v>57</v>
      </c>
      <c r="C84" t="s">
        <v>231</v>
      </c>
      <c r="D84">
        <v>292</v>
      </c>
      <c r="E84" t="s">
        <v>235</v>
      </c>
      <c r="F84" t="str">
        <f>IF(labs[[#This Row],[Result]]&gt;=labs[[#This Row],[NormalRange]],"good","bad")</f>
        <v>bad</v>
      </c>
    </row>
    <row r="85" spans="1:6" x14ac:dyDescent="0.3">
      <c r="A85">
        <v>84</v>
      </c>
      <c r="B85">
        <v>31</v>
      </c>
      <c r="C85" t="s">
        <v>239</v>
      </c>
      <c r="D85">
        <v>96.4</v>
      </c>
      <c r="E85" t="s">
        <v>234</v>
      </c>
      <c r="F85" t="str">
        <f>IF(labs[[#This Row],[Result]]&gt;=labs[[#This Row],[NormalRange]],"good","bad")</f>
        <v>bad</v>
      </c>
    </row>
    <row r="86" spans="1:6" x14ac:dyDescent="0.3">
      <c r="A86">
        <v>85</v>
      </c>
      <c r="B86">
        <v>134</v>
      </c>
      <c r="C86" t="s">
        <v>238</v>
      </c>
      <c r="D86">
        <v>267.2</v>
      </c>
      <c r="E86" t="s">
        <v>237</v>
      </c>
      <c r="F86" t="str">
        <f>IF(labs[[#This Row],[Result]]&gt;=labs[[#This Row],[NormalRange]],"good","bad")</f>
        <v>bad</v>
      </c>
    </row>
    <row r="87" spans="1:6" x14ac:dyDescent="0.3">
      <c r="A87">
        <v>86</v>
      </c>
      <c r="B87">
        <v>168</v>
      </c>
      <c r="C87" t="s">
        <v>238</v>
      </c>
      <c r="D87">
        <v>244.1</v>
      </c>
      <c r="E87" t="s">
        <v>240</v>
      </c>
      <c r="F87" t="str">
        <f>IF(labs[[#This Row],[Result]]&gt;=labs[[#This Row],[NormalRange]],"good","bad")</f>
        <v>bad</v>
      </c>
    </row>
    <row r="88" spans="1:6" x14ac:dyDescent="0.3">
      <c r="A88">
        <v>87</v>
      </c>
      <c r="B88">
        <v>98</v>
      </c>
      <c r="C88" t="s">
        <v>231</v>
      </c>
      <c r="D88">
        <v>242.7</v>
      </c>
      <c r="E88" t="s">
        <v>234</v>
      </c>
      <c r="F88" t="str">
        <f>IF(labs[[#This Row],[Result]]&gt;=labs[[#This Row],[NormalRange]],"good","bad")</f>
        <v>bad</v>
      </c>
    </row>
    <row r="89" spans="1:6" x14ac:dyDescent="0.3">
      <c r="A89">
        <v>88</v>
      </c>
      <c r="B89">
        <v>12</v>
      </c>
      <c r="C89" t="s">
        <v>238</v>
      </c>
      <c r="D89">
        <v>261.2</v>
      </c>
      <c r="E89" t="s">
        <v>232</v>
      </c>
      <c r="F89" t="str">
        <f>IF(labs[[#This Row],[Result]]&gt;=labs[[#This Row],[NormalRange]],"good","bad")</f>
        <v>bad</v>
      </c>
    </row>
    <row r="90" spans="1:6" x14ac:dyDescent="0.3">
      <c r="A90">
        <v>89</v>
      </c>
      <c r="B90">
        <v>53</v>
      </c>
      <c r="C90" t="s">
        <v>241</v>
      </c>
      <c r="D90">
        <v>240.3</v>
      </c>
      <c r="E90" t="s">
        <v>235</v>
      </c>
      <c r="F90" t="str">
        <f>IF(labs[[#This Row],[Result]]&gt;=labs[[#This Row],[NormalRange]],"good","bad")</f>
        <v>bad</v>
      </c>
    </row>
    <row r="91" spans="1:6" x14ac:dyDescent="0.3">
      <c r="A91">
        <v>90</v>
      </c>
      <c r="B91">
        <v>199</v>
      </c>
      <c r="C91" t="s">
        <v>233</v>
      </c>
      <c r="D91">
        <v>206.6</v>
      </c>
      <c r="E91" t="s">
        <v>232</v>
      </c>
      <c r="F91" t="str">
        <f>IF(labs[[#This Row],[Result]]&gt;=labs[[#This Row],[NormalRange]],"good","bad")</f>
        <v>bad</v>
      </c>
    </row>
    <row r="92" spans="1:6" x14ac:dyDescent="0.3">
      <c r="A92">
        <v>91</v>
      </c>
      <c r="B92">
        <v>138</v>
      </c>
      <c r="C92" t="s">
        <v>236</v>
      </c>
      <c r="D92">
        <v>82.8</v>
      </c>
      <c r="E92" t="s">
        <v>242</v>
      </c>
      <c r="F92" t="str">
        <f>IF(labs[[#This Row],[Result]]&gt;=labs[[#This Row],[NormalRange]],"good","bad")</f>
        <v>bad</v>
      </c>
    </row>
    <row r="93" spans="1:6" x14ac:dyDescent="0.3">
      <c r="A93">
        <v>92</v>
      </c>
      <c r="B93">
        <v>173</v>
      </c>
      <c r="C93" t="s">
        <v>239</v>
      </c>
      <c r="D93">
        <v>58.1</v>
      </c>
      <c r="E93" t="s">
        <v>240</v>
      </c>
      <c r="F93" t="str">
        <f>IF(labs[[#This Row],[Result]]&gt;=labs[[#This Row],[NormalRange]],"good","bad")</f>
        <v>bad</v>
      </c>
    </row>
    <row r="94" spans="1:6" x14ac:dyDescent="0.3">
      <c r="A94">
        <v>93</v>
      </c>
      <c r="B94">
        <v>145</v>
      </c>
      <c r="C94" t="s">
        <v>239</v>
      </c>
      <c r="D94">
        <v>280.2</v>
      </c>
      <c r="E94" t="s">
        <v>234</v>
      </c>
      <c r="F94" t="str">
        <f>IF(labs[[#This Row],[Result]]&gt;=labs[[#This Row],[NormalRange]],"good","bad")</f>
        <v>bad</v>
      </c>
    </row>
    <row r="95" spans="1:6" x14ac:dyDescent="0.3">
      <c r="A95">
        <v>94</v>
      </c>
      <c r="B95">
        <v>154</v>
      </c>
      <c r="C95" t="s">
        <v>231</v>
      </c>
      <c r="D95">
        <v>204.2</v>
      </c>
      <c r="E95" t="s">
        <v>232</v>
      </c>
      <c r="F95" t="str">
        <f>IF(labs[[#This Row],[Result]]&gt;=labs[[#This Row],[NormalRange]],"good","bad")</f>
        <v>bad</v>
      </c>
    </row>
    <row r="96" spans="1:6" x14ac:dyDescent="0.3">
      <c r="A96">
        <v>95</v>
      </c>
      <c r="B96">
        <v>190</v>
      </c>
      <c r="C96" t="s">
        <v>239</v>
      </c>
      <c r="D96">
        <v>249.1</v>
      </c>
      <c r="E96" t="s">
        <v>240</v>
      </c>
      <c r="F96" t="str">
        <f>IF(labs[[#This Row],[Result]]&gt;=labs[[#This Row],[NormalRange]],"good","bad")</f>
        <v>bad</v>
      </c>
    </row>
    <row r="97" spans="1:6" x14ac:dyDescent="0.3">
      <c r="A97">
        <v>96</v>
      </c>
      <c r="B97">
        <v>122</v>
      </c>
      <c r="C97" t="s">
        <v>241</v>
      </c>
      <c r="D97">
        <v>170.4</v>
      </c>
      <c r="E97" t="s">
        <v>242</v>
      </c>
      <c r="F97" t="str">
        <f>IF(labs[[#This Row],[Result]]&gt;=labs[[#This Row],[NormalRange]],"good","bad")</f>
        <v>bad</v>
      </c>
    </row>
    <row r="98" spans="1:6" x14ac:dyDescent="0.3">
      <c r="A98">
        <v>97</v>
      </c>
      <c r="B98">
        <v>46</v>
      </c>
      <c r="C98" t="s">
        <v>238</v>
      </c>
      <c r="D98">
        <v>79.3</v>
      </c>
      <c r="E98" t="s">
        <v>237</v>
      </c>
      <c r="F98" t="str">
        <f>IF(labs[[#This Row],[Result]]&gt;=labs[[#This Row],[NormalRange]],"good","bad")</f>
        <v>bad</v>
      </c>
    </row>
    <row r="99" spans="1:6" x14ac:dyDescent="0.3">
      <c r="A99">
        <v>98</v>
      </c>
      <c r="B99">
        <v>64</v>
      </c>
      <c r="C99" t="s">
        <v>241</v>
      </c>
      <c r="D99">
        <v>81.3</v>
      </c>
      <c r="E99" t="s">
        <v>235</v>
      </c>
      <c r="F99" t="str">
        <f>IF(labs[[#This Row],[Result]]&gt;=labs[[#This Row],[NormalRange]],"good","bad")</f>
        <v>bad</v>
      </c>
    </row>
    <row r="100" spans="1:6" x14ac:dyDescent="0.3">
      <c r="A100">
        <v>99</v>
      </c>
      <c r="B100">
        <v>130</v>
      </c>
      <c r="C100" t="s">
        <v>231</v>
      </c>
      <c r="D100">
        <v>221.4</v>
      </c>
      <c r="E100" t="s">
        <v>240</v>
      </c>
      <c r="F100" t="str">
        <f>IF(labs[[#This Row],[Result]]&gt;=labs[[#This Row],[NormalRange]],"good","bad")</f>
        <v>bad</v>
      </c>
    </row>
    <row r="101" spans="1:6" x14ac:dyDescent="0.3">
      <c r="A101">
        <v>100</v>
      </c>
      <c r="B101">
        <v>54</v>
      </c>
      <c r="C101" t="s">
        <v>241</v>
      </c>
      <c r="D101">
        <v>157.6</v>
      </c>
      <c r="E101" t="s">
        <v>240</v>
      </c>
      <c r="F101" t="str">
        <f>IF(labs[[#This Row],[Result]]&gt;=labs[[#This Row],[NormalRange]],"good","bad")</f>
        <v>bad</v>
      </c>
    </row>
    <row r="102" spans="1:6" x14ac:dyDescent="0.3">
      <c r="A102">
        <v>101</v>
      </c>
      <c r="B102">
        <v>107</v>
      </c>
      <c r="C102" t="s">
        <v>238</v>
      </c>
      <c r="D102">
        <v>100.1</v>
      </c>
      <c r="E102" t="s">
        <v>237</v>
      </c>
      <c r="F102" t="str">
        <f>IF(labs[[#This Row],[Result]]&gt;=labs[[#This Row],[NormalRange]],"good","bad")</f>
        <v>bad</v>
      </c>
    </row>
    <row r="103" spans="1:6" x14ac:dyDescent="0.3">
      <c r="A103">
        <v>102</v>
      </c>
      <c r="B103">
        <v>193</v>
      </c>
      <c r="C103" t="s">
        <v>233</v>
      </c>
      <c r="D103">
        <v>172.9</v>
      </c>
      <c r="E103" t="s">
        <v>240</v>
      </c>
      <c r="F103" t="str">
        <f>IF(labs[[#This Row],[Result]]&gt;=labs[[#This Row],[NormalRange]],"good","bad")</f>
        <v>bad</v>
      </c>
    </row>
    <row r="104" spans="1:6" x14ac:dyDescent="0.3">
      <c r="A104">
        <v>103</v>
      </c>
      <c r="B104">
        <v>51</v>
      </c>
      <c r="C104" t="s">
        <v>231</v>
      </c>
      <c r="D104">
        <v>66.099999999999994</v>
      </c>
      <c r="E104" t="s">
        <v>242</v>
      </c>
      <c r="F104" t="str">
        <f>IF(labs[[#This Row],[Result]]&gt;=labs[[#This Row],[NormalRange]],"good","bad")</f>
        <v>bad</v>
      </c>
    </row>
    <row r="105" spans="1:6" x14ac:dyDescent="0.3">
      <c r="A105">
        <v>104</v>
      </c>
      <c r="B105">
        <v>181</v>
      </c>
      <c r="C105" t="s">
        <v>233</v>
      </c>
      <c r="D105">
        <v>195.5</v>
      </c>
      <c r="E105" t="s">
        <v>242</v>
      </c>
      <c r="F105" t="str">
        <f>IF(labs[[#This Row],[Result]]&gt;=labs[[#This Row],[NormalRange]],"good","bad")</f>
        <v>bad</v>
      </c>
    </row>
    <row r="106" spans="1:6" x14ac:dyDescent="0.3">
      <c r="A106">
        <v>105</v>
      </c>
      <c r="B106">
        <v>36</v>
      </c>
      <c r="C106" t="s">
        <v>236</v>
      </c>
      <c r="D106">
        <v>117.2</v>
      </c>
      <c r="E106" t="s">
        <v>237</v>
      </c>
      <c r="F106" t="str">
        <f>IF(labs[[#This Row],[Result]]&gt;=labs[[#This Row],[NormalRange]],"good","bad")</f>
        <v>bad</v>
      </c>
    </row>
    <row r="107" spans="1:6" x14ac:dyDescent="0.3">
      <c r="A107">
        <v>106</v>
      </c>
      <c r="B107">
        <v>115</v>
      </c>
      <c r="C107" t="s">
        <v>233</v>
      </c>
      <c r="D107">
        <v>249.4</v>
      </c>
      <c r="E107" t="s">
        <v>235</v>
      </c>
      <c r="F107" t="str">
        <f>IF(labs[[#This Row],[Result]]&gt;=labs[[#This Row],[NormalRange]],"good","bad")</f>
        <v>bad</v>
      </c>
    </row>
    <row r="108" spans="1:6" x14ac:dyDescent="0.3">
      <c r="A108">
        <v>107</v>
      </c>
      <c r="B108">
        <v>26</v>
      </c>
      <c r="C108" t="s">
        <v>236</v>
      </c>
      <c r="D108">
        <v>127.6</v>
      </c>
      <c r="E108" t="s">
        <v>234</v>
      </c>
      <c r="F108" t="str">
        <f>IF(labs[[#This Row],[Result]]&gt;=labs[[#This Row],[NormalRange]],"good","bad")</f>
        <v>bad</v>
      </c>
    </row>
    <row r="109" spans="1:6" x14ac:dyDescent="0.3">
      <c r="A109">
        <v>108</v>
      </c>
      <c r="B109">
        <v>29</v>
      </c>
      <c r="C109" t="s">
        <v>236</v>
      </c>
      <c r="D109">
        <v>163.80000000000001</v>
      </c>
      <c r="E109" t="s">
        <v>232</v>
      </c>
      <c r="F109" t="str">
        <f>IF(labs[[#This Row],[Result]]&gt;=labs[[#This Row],[NormalRange]],"good","bad")</f>
        <v>bad</v>
      </c>
    </row>
    <row r="110" spans="1:6" x14ac:dyDescent="0.3">
      <c r="A110">
        <v>109</v>
      </c>
      <c r="B110">
        <v>149</v>
      </c>
      <c r="C110" t="s">
        <v>233</v>
      </c>
      <c r="D110">
        <v>52.9</v>
      </c>
      <c r="E110" t="s">
        <v>234</v>
      </c>
      <c r="F110" t="str">
        <f>IF(labs[[#This Row],[Result]]&gt;=labs[[#This Row],[NormalRange]],"good","bad")</f>
        <v>bad</v>
      </c>
    </row>
    <row r="111" spans="1:6" x14ac:dyDescent="0.3">
      <c r="A111">
        <v>110</v>
      </c>
      <c r="B111">
        <v>11</v>
      </c>
      <c r="C111" t="s">
        <v>231</v>
      </c>
      <c r="D111">
        <v>68.099999999999994</v>
      </c>
      <c r="E111" t="s">
        <v>240</v>
      </c>
      <c r="F111" t="str">
        <f>IF(labs[[#This Row],[Result]]&gt;=labs[[#This Row],[NormalRange]],"good","bad")</f>
        <v>bad</v>
      </c>
    </row>
    <row r="112" spans="1:6" x14ac:dyDescent="0.3">
      <c r="A112">
        <v>111</v>
      </c>
      <c r="B112">
        <v>40</v>
      </c>
      <c r="C112" t="s">
        <v>238</v>
      </c>
      <c r="D112">
        <v>148.1</v>
      </c>
      <c r="E112" t="s">
        <v>232</v>
      </c>
      <c r="F112" t="str">
        <f>IF(labs[[#This Row],[Result]]&gt;=labs[[#This Row],[NormalRange]],"good","bad")</f>
        <v>bad</v>
      </c>
    </row>
    <row r="113" spans="1:6" x14ac:dyDescent="0.3">
      <c r="A113">
        <v>112</v>
      </c>
      <c r="B113">
        <v>11</v>
      </c>
      <c r="C113" t="s">
        <v>241</v>
      </c>
      <c r="D113">
        <v>170</v>
      </c>
      <c r="E113" t="s">
        <v>237</v>
      </c>
      <c r="F113" t="str">
        <f>IF(labs[[#This Row],[Result]]&gt;=labs[[#This Row],[NormalRange]],"good","bad")</f>
        <v>bad</v>
      </c>
    </row>
    <row r="114" spans="1:6" x14ac:dyDescent="0.3">
      <c r="A114">
        <v>113</v>
      </c>
      <c r="B114">
        <v>164</v>
      </c>
      <c r="C114" t="s">
        <v>241</v>
      </c>
      <c r="D114">
        <v>200</v>
      </c>
      <c r="E114" t="s">
        <v>237</v>
      </c>
      <c r="F114" t="str">
        <f>IF(labs[[#This Row],[Result]]&gt;=labs[[#This Row],[NormalRange]],"good","bad")</f>
        <v>bad</v>
      </c>
    </row>
    <row r="115" spans="1:6" x14ac:dyDescent="0.3">
      <c r="A115">
        <v>114</v>
      </c>
      <c r="B115">
        <v>113</v>
      </c>
      <c r="C115" t="s">
        <v>238</v>
      </c>
      <c r="D115">
        <v>122.9</v>
      </c>
      <c r="E115" t="s">
        <v>235</v>
      </c>
      <c r="F115" t="str">
        <f>IF(labs[[#This Row],[Result]]&gt;=labs[[#This Row],[NormalRange]],"good","bad")</f>
        <v>bad</v>
      </c>
    </row>
    <row r="116" spans="1:6" x14ac:dyDescent="0.3">
      <c r="A116">
        <v>115</v>
      </c>
      <c r="B116">
        <v>187</v>
      </c>
      <c r="C116" t="s">
        <v>236</v>
      </c>
      <c r="D116">
        <v>223.7</v>
      </c>
      <c r="E116" t="s">
        <v>232</v>
      </c>
      <c r="F116" t="str">
        <f>IF(labs[[#This Row],[Result]]&gt;=labs[[#This Row],[NormalRange]],"good","bad")</f>
        <v>bad</v>
      </c>
    </row>
    <row r="117" spans="1:6" x14ac:dyDescent="0.3">
      <c r="A117">
        <v>116</v>
      </c>
      <c r="B117">
        <v>39</v>
      </c>
      <c r="C117" t="s">
        <v>236</v>
      </c>
      <c r="D117">
        <v>265</v>
      </c>
      <c r="E117" t="s">
        <v>242</v>
      </c>
      <c r="F117" t="str">
        <f>IF(labs[[#This Row],[Result]]&gt;=labs[[#This Row],[NormalRange]],"good","bad")</f>
        <v>bad</v>
      </c>
    </row>
    <row r="118" spans="1:6" x14ac:dyDescent="0.3">
      <c r="A118">
        <v>117</v>
      </c>
      <c r="B118">
        <v>54</v>
      </c>
      <c r="C118" t="s">
        <v>231</v>
      </c>
      <c r="D118">
        <v>245</v>
      </c>
      <c r="E118" t="s">
        <v>232</v>
      </c>
      <c r="F118" t="str">
        <f>IF(labs[[#This Row],[Result]]&gt;=labs[[#This Row],[NormalRange]],"good","bad")</f>
        <v>bad</v>
      </c>
    </row>
    <row r="119" spans="1:6" x14ac:dyDescent="0.3">
      <c r="A119">
        <v>118</v>
      </c>
      <c r="B119">
        <v>98</v>
      </c>
      <c r="C119" t="s">
        <v>239</v>
      </c>
      <c r="D119">
        <v>59.9</v>
      </c>
      <c r="E119" t="s">
        <v>240</v>
      </c>
      <c r="F119" t="str">
        <f>IF(labs[[#This Row],[Result]]&gt;=labs[[#This Row],[NormalRange]],"good","bad")</f>
        <v>bad</v>
      </c>
    </row>
    <row r="120" spans="1:6" x14ac:dyDescent="0.3">
      <c r="A120">
        <v>119</v>
      </c>
      <c r="B120">
        <v>55</v>
      </c>
      <c r="C120" t="s">
        <v>233</v>
      </c>
      <c r="D120">
        <v>170.1</v>
      </c>
      <c r="E120" t="s">
        <v>242</v>
      </c>
      <c r="F120" t="str">
        <f>IF(labs[[#This Row],[Result]]&gt;=labs[[#This Row],[NormalRange]],"good","bad")</f>
        <v>bad</v>
      </c>
    </row>
    <row r="121" spans="1:6" x14ac:dyDescent="0.3">
      <c r="A121">
        <v>120</v>
      </c>
      <c r="B121">
        <v>111</v>
      </c>
      <c r="C121" t="s">
        <v>236</v>
      </c>
      <c r="D121">
        <v>76.2</v>
      </c>
      <c r="E121" t="s">
        <v>237</v>
      </c>
      <c r="F121" t="str">
        <f>IF(labs[[#This Row],[Result]]&gt;=labs[[#This Row],[NormalRange]],"good","bad")</f>
        <v>bad</v>
      </c>
    </row>
    <row r="122" spans="1:6" x14ac:dyDescent="0.3">
      <c r="A122">
        <v>121</v>
      </c>
      <c r="B122">
        <v>152</v>
      </c>
      <c r="C122" t="s">
        <v>241</v>
      </c>
      <c r="D122">
        <v>110.5</v>
      </c>
      <c r="E122" t="s">
        <v>232</v>
      </c>
      <c r="F122" t="str">
        <f>IF(labs[[#This Row],[Result]]&gt;=labs[[#This Row],[NormalRange]],"good","bad")</f>
        <v>bad</v>
      </c>
    </row>
    <row r="123" spans="1:6" x14ac:dyDescent="0.3">
      <c r="A123">
        <v>122</v>
      </c>
      <c r="B123">
        <v>150</v>
      </c>
      <c r="C123" t="s">
        <v>231</v>
      </c>
      <c r="D123">
        <v>296.7</v>
      </c>
      <c r="E123" t="s">
        <v>234</v>
      </c>
      <c r="F123" t="str">
        <f>IF(labs[[#This Row],[Result]]&gt;=labs[[#This Row],[NormalRange]],"good","bad")</f>
        <v>bad</v>
      </c>
    </row>
    <row r="124" spans="1:6" x14ac:dyDescent="0.3">
      <c r="A124">
        <v>123</v>
      </c>
      <c r="B124">
        <v>69</v>
      </c>
      <c r="C124" t="s">
        <v>233</v>
      </c>
      <c r="D124">
        <v>85.6</v>
      </c>
      <c r="E124" t="s">
        <v>235</v>
      </c>
      <c r="F124" t="str">
        <f>IF(labs[[#This Row],[Result]]&gt;=labs[[#This Row],[NormalRange]],"good","bad")</f>
        <v>bad</v>
      </c>
    </row>
    <row r="125" spans="1:6" x14ac:dyDescent="0.3">
      <c r="A125">
        <v>124</v>
      </c>
      <c r="B125">
        <v>56</v>
      </c>
      <c r="C125" t="s">
        <v>231</v>
      </c>
      <c r="D125">
        <v>174.7</v>
      </c>
      <c r="E125" t="s">
        <v>234</v>
      </c>
      <c r="F125" t="str">
        <f>IF(labs[[#This Row],[Result]]&gt;=labs[[#This Row],[NormalRange]],"good","bad")</f>
        <v>bad</v>
      </c>
    </row>
    <row r="126" spans="1:6" x14ac:dyDescent="0.3">
      <c r="A126">
        <v>125</v>
      </c>
      <c r="B126">
        <v>33</v>
      </c>
      <c r="C126" t="s">
        <v>233</v>
      </c>
      <c r="D126">
        <v>204.5</v>
      </c>
      <c r="E126" t="s">
        <v>235</v>
      </c>
      <c r="F126" t="str">
        <f>IF(labs[[#This Row],[Result]]&gt;=labs[[#This Row],[NormalRange]],"good","bad")</f>
        <v>bad</v>
      </c>
    </row>
    <row r="127" spans="1:6" x14ac:dyDescent="0.3">
      <c r="A127">
        <v>126</v>
      </c>
      <c r="B127">
        <v>36</v>
      </c>
      <c r="C127" t="s">
        <v>233</v>
      </c>
      <c r="D127">
        <v>225.6</v>
      </c>
      <c r="E127" t="s">
        <v>240</v>
      </c>
      <c r="F127" t="str">
        <f>IF(labs[[#This Row],[Result]]&gt;=labs[[#This Row],[NormalRange]],"good","bad")</f>
        <v>bad</v>
      </c>
    </row>
    <row r="128" spans="1:6" x14ac:dyDescent="0.3">
      <c r="A128">
        <v>127</v>
      </c>
      <c r="B128">
        <v>148</v>
      </c>
      <c r="C128" t="s">
        <v>238</v>
      </c>
      <c r="D128">
        <v>189.9</v>
      </c>
      <c r="E128" t="s">
        <v>234</v>
      </c>
      <c r="F128" t="str">
        <f>IF(labs[[#This Row],[Result]]&gt;=labs[[#This Row],[NormalRange]],"good","bad")</f>
        <v>bad</v>
      </c>
    </row>
    <row r="129" spans="1:6" x14ac:dyDescent="0.3">
      <c r="A129">
        <v>128</v>
      </c>
      <c r="B129">
        <v>81</v>
      </c>
      <c r="C129" t="s">
        <v>236</v>
      </c>
      <c r="D129">
        <v>52.4</v>
      </c>
      <c r="E129" t="s">
        <v>232</v>
      </c>
      <c r="F129" t="str">
        <f>IF(labs[[#This Row],[Result]]&gt;=labs[[#This Row],[NormalRange]],"good","bad")</f>
        <v>bad</v>
      </c>
    </row>
    <row r="130" spans="1:6" x14ac:dyDescent="0.3">
      <c r="A130">
        <v>129</v>
      </c>
      <c r="B130">
        <v>190</v>
      </c>
      <c r="C130" t="s">
        <v>231</v>
      </c>
      <c r="D130">
        <v>131.6</v>
      </c>
      <c r="E130" t="s">
        <v>232</v>
      </c>
      <c r="F130" t="str">
        <f>IF(labs[[#This Row],[Result]]&gt;=labs[[#This Row],[NormalRange]],"good","bad")</f>
        <v>bad</v>
      </c>
    </row>
    <row r="131" spans="1:6" x14ac:dyDescent="0.3">
      <c r="A131">
        <v>130</v>
      </c>
      <c r="B131">
        <v>109</v>
      </c>
      <c r="C131" t="s">
        <v>231</v>
      </c>
      <c r="D131">
        <v>179.4</v>
      </c>
      <c r="E131" t="s">
        <v>234</v>
      </c>
      <c r="F131" t="str">
        <f>IF(labs[[#This Row],[Result]]&gt;=labs[[#This Row],[NormalRange]],"good","bad")</f>
        <v>bad</v>
      </c>
    </row>
    <row r="132" spans="1:6" x14ac:dyDescent="0.3">
      <c r="A132">
        <v>131</v>
      </c>
      <c r="B132">
        <v>154</v>
      </c>
      <c r="C132" t="s">
        <v>238</v>
      </c>
      <c r="D132">
        <v>72</v>
      </c>
      <c r="E132" t="s">
        <v>232</v>
      </c>
      <c r="F132" t="str">
        <f>IF(labs[[#This Row],[Result]]&gt;=labs[[#This Row],[NormalRange]],"good","bad")</f>
        <v>bad</v>
      </c>
    </row>
    <row r="133" spans="1:6" x14ac:dyDescent="0.3">
      <c r="A133">
        <v>132</v>
      </c>
      <c r="B133">
        <v>194</v>
      </c>
      <c r="C133" t="s">
        <v>241</v>
      </c>
      <c r="D133">
        <v>137.69999999999999</v>
      </c>
      <c r="E133" t="s">
        <v>240</v>
      </c>
      <c r="F133" t="str">
        <f>IF(labs[[#This Row],[Result]]&gt;=labs[[#This Row],[NormalRange]],"good","bad")</f>
        <v>bad</v>
      </c>
    </row>
    <row r="134" spans="1:6" x14ac:dyDescent="0.3">
      <c r="A134">
        <v>133</v>
      </c>
      <c r="B134">
        <v>73</v>
      </c>
      <c r="C134" t="s">
        <v>241</v>
      </c>
      <c r="D134">
        <v>58.3</v>
      </c>
      <c r="E134" t="s">
        <v>242</v>
      </c>
      <c r="F134" t="str">
        <f>IF(labs[[#This Row],[Result]]&gt;=labs[[#This Row],[NormalRange]],"good","bad")</f>
        <v>bad</v>
      </c>
    </row>
    <row r="135" spans="1:6" x14ac:dyDescent="0.3">
      <c r="A135">
        <v>134</v>
      </c>
      <c r="B135">
        <v>40</v>
      </c>
      <c r="C135" t="s">
        <v>236</v>
      </c>
      <c r="D135">
        <v>69.599999999999994</v>
      </c>
      <c r="E135" t="s">
        <v>240</v>
      </c>
      <c r="F135" t="str">
        <f>IF(labs[[#This Row],[Result]]&gt;=labs[[#This Row],[NormalRange]],"good","bad")</f>
        <v>bad</v>
      </c>
    </row>
    <row r="136" spans="1:6" x14ac:dyDescent="0.3">
      <c r="A136">
        <v>135</v>
      </c>
      <c r="B136">
        <v>17</v>
      </c>
      <c r="C136" t="s">
        <v>236</v>
      </c>
      <c r="D136">
        <v>149.19999999999999</v>
      </c>
      <c r="E136" t="s">
        <v>235</v>
      </c>
      <c r="F136" t="str">
        <f>IF(labs[[#This Row],[Result]]&gt;=labs[[#This Row],[NormalRange]],"good","bad")</f>
        <v>bad</v>
      </c>
    </row>
    <row r="137" spans="1:6" x14ac:dyDescent="0.3">
      <c r="A137">
        <v>136</v>
      </c>
      <c r="B137">
        <v>129</v>
      </c>
      <c r="C137" t="s">
        <v>239</v>
      </c>
      <c r="D137">
        <v>83.2</v>
      </c>
      <c r="E137" t="s">
        <v>240</v>
      </c>
      <c r="F137" t="str">
        <f>IF(labs[[#This Row],[Result]]&gt;=labs[[#This Row],[NormalRange]],"good","bad")</f>
        <v>bad</v>
      </c>
    </row>
    <row r="138" spans="1:6" x14ac:dyDescent="0.3">
      <c r="A138">
        <v>137</v>
      </c>
      <c r="B138">
        <v>61</v>
      </c>
      <c r="C138" t="s">
        <v>238</v>
      </c>
      <c r="D138">
        <v>191.9</v>
      </c>
      <c r="E138" t="s">
        <v>235</v>
      </c>
      <c r="F138" t="str">
        <f>IF(labs[[#This Row],[Result]]&gt;=labs[[#This Row],[NormalRange]],"good","bad")</f>
        <v>bad</v>
      </c>
    </row>
    <row r="139" spans="1:6" x14ac:dyDescent="0.3">
      <c r="A139">
        <v>138</v>
      </c>
      <c r="B139">
        <v>171</v>
      </c>
      <c r="C139" t="s">
        <v>241</v>
      </c>
      <c r="D139">
        <v>222.4</v>
      </c>
      <c r="E139" t="s">
        <v>232</v>
      </c>
      <c r="F139" t="str">
        <f>IF(labs[[#This Row],[Result]]&gt;=labs[[#This Row],[NormalRange]],"good","bad")</f>
        <v>bad</v>
      </c>
    </row>
    <row r="140" spans="1:6" x14ac:dyDescent="0.3">
      <c r="A140">
        <v>139</v>
      </c>
      <c r="B140">
        <v>104</v>
      </c>
      <c r="C140" t="s">
        <v>233</v>
      </c>
      <c r="D140">
        <v>250.1</v>
      </c>
      <c r="E140" t="s">
        <v>242</v>
      </c>
      <c r="F140" t="str">
        <f>IF(labs[[#This Row],[Result]]&gt;=labs[[#This Row],[NormalRange]],"good","bad")</f>
        <v>bad</v>
      </c>
    </row>
    <row r="141" spans="1:6" x14ac:dyDescent="0.3">
      <c r="A141">
        <v>140</v>
      </c>
      <c r="B141">
        <v>42</v>
      </c>
      <c r="C141" t="s">
        <v>231</v>
      </c>
      <c r="D141">
        <v>100</v>
      </c>
      <c r="E141" t="s">
        <v>232</v>
      </c>
      <c r="F141" t="str">
        <f>IF(labs[[#This Row],[Result]]&gt;=labs[[#This Row],[NormalRange]],"good","bad")</f>
        <v>bad</v>
      </c>
    </row>
    <row r="142" spans="1:6" x14ac:dyDescent="0.3">
      <c r="A142">
        <v>141</v>
      </c>
      <c r="B142">
        <v>25</v>
      </c>
      <c r="C142" t="s">
        <v>236</v>
      </c>
      <c r="D142">
        <v>91.9</v>
      </c>
      <c r="E142" t="s">
        <v>237</v>
      </c>
      <c r="F142" t="str">
        <f>IF(labs[[#This Row],[Result]]&gt;=labs[[#This Row],[NormalRange]],"good","bad")</f>
        <v>bad</v>
      </c>
    </row>
    <row r="143" spans="1:6" x14ac:dyDescent="0.3">
      <c r="A143">
        <v>142</v>
      </c>
      <c r="B143">
        <v>39</v>
      </c>
      <c r="C143" t="s">
        <v>231</v>
      </c>
      <c r="D143">
        <v>76.099999999999994</v>
      </c>
      <c r="E143" t="s">
        <v>232</v>
      </c>
      <c r="F143" t="str">
        <f>IF(labs[[#This Row],[Result]]&gt;=labs[[#This Row],[NormalRange]],"good","bad")</f>
        <v>bad</v>
      </c>
    </row>
    <row r="144" spans="1:6" x14ac:dyDescent="0.3">
      <c r="A144">
        <v>143</v>
      </c>
      <c r="B144">
        <v>35</v>
      </c>
      <c r="C144" t="s">
        <v>231</v>
      </c>
      <c r="D144">
        <v>209.1</v>
      </c>
      <c r="E144" t="s">
        <v>235</v>
      </c>
      <c r="F144" t="str">
        <f>IF(labs[[#This Row],[Result]]&gt;=labs[[#This Row],[NormalRange]],"good","bad")</f>
        <v>bad</v>
      </c>
    </row>
    <row r="145" spans="1:6" x14ac:dyDescent="0.3">
      <c r="A145">
        <v>144</v>
      </c>
      <c r="B145">
        <v>131</v>
      </c>
      <c r="C145" t="s">
        <v>239</v>
      </c>
      <c r="D145">
        <v>226.6</v>
      </c>
      <c r="E145" t="s">
        <v>232</v>
      </c>
      <c r="F145" t="str">
        <f>IF(labs[[#This Row],[Result]]&gt;=labs[[#This Row],[NormalRange]],"good","bad")</f>
        <v>bad</v>
      </c>
    </row>
    <row r="146" spans="1:6" x14ac:dyDescent="0.3">
      <c r="A146">
        <v>145</v>
      </c>
      <c r="B146">
        <v>108</v>
      </c>
      <c r="C146" t="s">
        <v>241</v>
      </c>
      <c r="D146">
        <v>57.9</v>
      </c>
      <c r="E146" t="s">
        <v>232</v>
      </c>
      <c r="F146" t="str">
        <f>IF(labs[[#This Row],[Result]]&gt;=labs[[#This Row],[NormalRange]],"good","bad")</f>
        <v>bad</v>
      </c>
    </row>
    <row r="147" spans="1:6" x14ac:dyDescent="0.3">
      <c r="A147">
        <v>146</v>
      </c>
      <c r="B147">
        <v>172</v>
      </c>
      <c r="C147" t="s">
        <v>236</v>
      </c>
      <c r="D147">
        <v>284.10000000000002</v>
      </c>
      <c r="E147" t="s">
        <v>242</v>
      </c>
      <c r="F147" t="str">
        <f>IF(labs[[#This Row],[Result]]&gt;=labs[[#This Row],[NormalRange]],"good","bad")</f>
        <v>bad</v>
      </c>
    </row>
    <row r="148" spans="1:6" x14ac:dyDescent="0.3">
      <c r="A148">
        <v>147</v>
      </c>
      <c r="B148">
        <v>179</v>
      </c>
      <c r="C148" t="s">
        <v>231</v>
      </c>
      <c r="D148">
        <v>63</v>
      </c>
      <c r="E148" t="s">
        <v>232</v>
      </c>
      <c r="F148" t="str">
        <f>IF(labs[[#This Row],[Result]]&gt;=labs[[#This Row],[NormalRange]],"good","bad")</f>
        <v>bad</v>
      </c>
    </row>
    <row r="149" spans="1:6" x14ac:dyDescent="0.3">
      <c r="A149">
        <v>148</v>
      </c>
      <c r="B149">
        <v>102</v>
      </c>
      <c r="C149" t="s">
        <v>236</v>
      </c>
      <c r="D149">
        <v>185.3</v>
      </c>
      <c r="E149" t="s">
        <v>242</v>
      </c>
      <c r="F149" t="str">
        <f>IF(labs[[#This Row],[Result]]&gt;=labs[[#This Row],[NormalRange]],"good","bad")</f>
        <v>bad</v>
      </c>
    </row>
    <row r="150" spans="1:6" x14ac:dyDescent="0.3">
      <c r="A150">
        <v>149</v>
      </c>
      <c r="B150">
        <v>98</v>
      </c>
      <c r="C150" t="s">
        <v>233</v>
      </c>
      <c r="D150">
        <v>227.3</v>
      </c>
      <c r="E150" t="s">
        <v>234</v>
      </c>
      <c r="F150" t="str">
        <f>IF(labs[[#This Row],[Result]]&gt;=labs[[#This Row],[NormalRange]],"good","bad")</f>
        <v>bad</v>
      </c>
    </row>
    <row r="151" spans="1:6" x14ac:dyDescent="0.3">
      <c r="A151">
        <v>150</v>
      </c>
      <c r="B151">
        <v>12</v>
      </c>
      <c r="C151" t="s">
        <v>239</v>
      </c>
      <c r="D151">
        <v>267.7</v>
      </c>
      <c r="E151" t="s">
        <v>237</v>
      </c>
      <c r="F151" t="str">
        <f>IF(labs[[#This Row],[Result]]&gt;=labs[[#This Row],[NormalRange]],"good","bad")</f>
        <v>bad</v>
      </c>
    </row>
    <row r="152" spans="1:6" x14ac:dyDescent="0.3">
      <c r="A152">
        <v>151</v>
      </c>
      <c r="B152">
        <v>19</v>
      </c>
      <c r="C152" t="s">
        <v>233</v>
      </c>
      <c r="D152">
        <v>228.5</v>
      </c>
      <c r="E152" t="s">
        <v>242</v>
      </c>
      <c r="F152" t="str">
        <f>IF(labs[[#This Row],[Result]]&gt;=labs[[#This Row],[NormalRange]],"good","bad")</f>
        <v>bad</v>
      </c>
    </row>
    <row r="153" spans="1:6" x14ac:dyDescent="0.3">
      <c r="A153">
        <v>152</v>
      </c>
      <c r="B153">
        <v>101</v>
      </c>
      <c r="C153" t="s">
        <v>236</v>
      </c>
      <c r="D153">
        <v>250.4</v>
      </c>
      <c r="E153" t="s">
        <v>235</v>
      </c>
      <c r="F153" t="str">
        <f>IF(labs[[#This Row],[Result]]&gt;=labs[[#This Row],[NormalRange]],"good","bad")</f>
        <v>bad</v>
      </c>
    </row>
    <row r="154" spans="1:6" x14ac:dyDescent="0.3">
      <c r="A154">
        <v>153</v>
      </c>
      <c r="B154">
        <v>44</v>
      </c>
      <c r="C154" t="s">
        <v>236</v>
      </c>
      <c r="D154">
        <v>134.9</v>
      </c>
      <c r="E154" t="s">
        <v>234</v>
      </c>
      <c r="F154" t="str">
        <f>IF(labs[[#This Row],[Result]]&gt;=labs[[#This Row],[NormalRange]],"good","bad")</f>
        <v>bad</v>
      </c>
    </row>
    <row r="155" spans="1:6" x14ac:dyDescent="0.3">
      <c r="A155">
        <v>154</v>
      </c>
      <c r="B155">
        <v>187</v>
      </c>
      <c r="C155" t="s">
        <v>241</v>
      </c>
      <c r="D155">
        <v>253.7</v>
      </c>
      <c r="E155" t="s">
        <v>242</v>
      </c>
      <c r="F155" t="str">
        <f>IF(labs[[#This Row],[Result]]&gt;=labs[[#This Row],[NormalRange]],"good","bad")</f>
        <v>bad</v>
      </c>
    </row>
    <row r="156" spans="1:6" x14ac:dyDescent="0.3">
      <c r="A156">
        <v>155</v>
      </c>
      <c r="B156">
        <v>49</v>
      </c>
      <c r="C156" t="s">
        <v>231</v>
      </c>
      <c r="D156">
        <v>70</v>
      </c>
      <c r="E156" t="s">
        <v>242</v>
      </c>
      <c r="F156" t="str">
        <f>IF(labs[[#This Row],[Result]]&gt;=labs[[#This Row],[NormalRange]],"good","bad")</f>
        <v>bad</v>
      </c>
    </row>
    <row r="157" spans="1:6" x14ac:dyDescent="0.3">
      <c r="A157">
        <v>156</v>
      </c>
      <c r="B157">
        <v>189</v>
      </c>
      <c r="C157" t="s">
        <v>231</v>
      </c>
      <c r="D157">
        <v>273.7</v>
      </c>
      <c r="E157" t="s">
        <v>237</v>
      </c>
      <c r="F157" t="str">
        <f>IF(labs[[#This Row],[Result]]&gt;=labs[[#This Row],[NormalRange]],"good","bad")</f>
        <v>bad</v>
      </c>
    </row>
    <row r="158" spans="1:6" x14ac:dyDescent="0.3">
      <c r="A158">
        <v>157</v>
      </c>
      <c r="B158">
        <v>17</v>
      </c>
      <c r="C158" t="s">
        <v>233</v>
      </c>
      <c r="D158">
        <v>186.9</v>
      </c>
      <c r="E158" t="s">
        <v>235</v>
      </c>
      <c r="F158" t="str">
        <f>IF(labs[[#This Row],[Result]]&gt;=labs[[#This Row],[NormalRange]],"good","bad")</f>
        <v>bad</v>
      </c>
    </row>
    <row r="159" spans="1:6" x14ac:dyDescent="0.3">
      <c r="A159">
        <v>158</v>
      </c>
      <c r="B159">
        <v>74</v>
      </c>
      <c r="C159" t="s">
        <v>239</v>
      </c>
      <c r="D159">
        <v>254.3</v>
      </c>
      <c r="E159" t="s">
        <v>240</v>
      </c>
      <c r="F159" t="str">
        <f>IF(labs[[#This Row],[Result]]&gt;=labs[[#This Row],[NormalRange]],"good","bad")</f>
        <v>bad</v>
      </c>
    </row>
    <row r="160" spans="1:6" x14ac:dyDescent="0.3">
      <c r="A160">
        <v>159</v>
      </c>
      <c r="B160">
        <v>57</v>
      </c>
      <c r="C160" t="s">
        <v>238</v>
      </c>
      <c r="D160">
        <v>163.1</v>
      </c>
      <c r="E160" t="s">
        <v>240</v>
      </c>
      <c r="F160" t="str">
        <f>IF(labs[[#This Row],[Result]]&gt;=labs[[#This Row],[NormalRange]],"good","bad")</f>
        <v>bad</v>
      </c>
    </row>
    <row r="161" spans="1:6" x14ac:dyDescent="0.3">
      <c r="A161">
        <v>160</v>
      </c>
      <c r="B161">
        <v>55</v>
      </c>
      <c r="C161" t="s">
        <v>231</v>
      </c>
      <c r="D161">
        <v>210.9</v>
      </c>
      <c r="E161" t="s">
        <v>242</v>
      </c>
      <c r="F161" t="str">
        <f>IF(labs[[#This Row],[Result]]&gt;=labs[[#This Row],[NormalRange]],"good","bad")</f>
        <v>bad</v>
      </c>
    </row>
    <row r="162" spans="1:6" x14ac:dyDescent="0.3">
      <c r="A162">
        <v>161</v>
      </c>
      <c r="B162">
        <v>47</v>
      </c>
      <c r="C162" t="s">
        <v>241</v>
      </c>
      <c r="D162">
        <v>181.6</v>
      </c>
      <c r="E162" t="s">
        <v>232</v>
      </c>
      <c r="F162" t="str">
        <f>IF(labs[[#This Row],[Result]]&gt;=labs[[#This Row],[NormalRange]],"good","bad")</f>
        <v>bad</v>
      </c>
    </row>
    <row r="163" spans="1:6" x14ac:dyDescent="0.3">
      <c r="A163">
        <v>162</v>
      </c>
      <c r="B163">
        <v>12</v>
      </c>
      <c r="C163" t="s">
        <v>233</v>
      </c>
      <c r="D163">
        <v>232.9</v>
      </c>
      <c r="E163" t="s">
        <v>235</v>
      </c>
      <c r="F163" t="str">
        <f>IF(labs[[#This Row],[Result]]&gt;=labs[[#This Row],[NormalRange]],"good","bad")</f>
        <v>bad</v>
      </c>
    </row>
    <row r="164" spans="1:6" x14ac:dyDescent="0.3">
      <c r="A164">
        <v>163</v>
      </c>
      <c r="B164">
        <v>62</v>
      </c>
      <c r="C164" t="s">
        <v>233</v>
      </c>
      <c r="D164">
        <v>70.400000000000006</v>
      </c>
      <c r="E164" t="s">
        <v>234</v>
      </c>
      <c r="F164" t="str">
        <f>IF(labs[[#This Row],[Result]]&gt;=labs[[#This Row],[NormalRange]],"good","bad")</f>
        <v>bad</v>
      </c>
    </row>
    <row r="165" spans="1:6" x14ac:dyDescent="0.3">
      <c r="A165">
        <v>164</v>
      </c>
      <c r="B165">
        <v>80</v>
      </c>
      <c r="C165" t="s">
        <v>238</v>
      </c>
      <c r="D165">
        <v>65.099999999999994</v>
      </c>
      <c r="E165" t="s">
        <v>232</v>
      </c>
      <c r="F165" t="str">
        <f>IF(labs[[#This Row],[Result]]&gt;=labs[[#This Row],[NormalRange]],"good","bad")</f>
        <v>bad</v>
      </c>
    </row>
    <row r="166" spans="1:6" x14ac:dyDescent="0.3">
      <c r="A166">
        <v>165</v>
      </c>
      <c r="B166">
        <v>83</v>
      </c>
      <c r="C166" t="s">
        <v>241</v>
      </c>
      <c r="D166">
        <v>111.8</v>
      </c>
      <c r="E166" t="s">
        <v>232</v>
      </c>
      <c r="F166" t="str">
        <f>IF(labs[[#This Row],[Result]]&gt;=labs[[#This Row],[NormalRange]],"good","bad")</f>
        <v>bad</v>
      </c>
    </row>
    <row r="167" spans="1:6" x14ac:dyDescent="0.3">
      <c r="A167">
        <v>166</v>
      </c>
      <c r="B167">
        <v>8</v>
      </c>
      <c r="C167" t="s">
        <v>239</v>
      </c>
      <c r="D167">
        <v>89.9</v>
      </c>
      <c r="E167" t="s">
        <v>235</v>
      </c>
      <c r="F167" t="str">
        <f>IF(labs[[#This Row],[Result]]&gt;=labs[[#This Row],[NormalRange]],"good","bad")</f>
        <v>bad</v>
      </c>
    </row>
    <row r="168" spans="1:6" x14ac:dyDescent="0.3">
      <c r="A168">
        <v>167</v>
      </c>
      <c r="B168">
        <v>149</v>
      </c>
      <c r="C168" t="s">
        <v>241</v>
      </c>
      <c r="D168">
        <v>267.89999999999998</v>
      </c>
      <c r="E168" t="s">
        <v>242</v>
      </c>
      <c r="F168" t="str">
        <f>IF(labs[[#This Row],[Result]]&gt;=labs[[#This Row],[NormalRange]],"good","bad")</f>
        <v>bad</v>
      </c>
    </row>
    <row r="169" spans="1:6" x14ac:dyDescent="0.3">
      <c r="A169">
        <v>168</v>
      </c>
      <c r="B169">
        <v>81</v>
      </c>
      <c r="C169" t="s">
        <v>239</v>
      </c>
      <c r="D169">
        <v>104.8</v>
      </c>
      <c r="E169" t="s">
        <v>242</v>
      </c>
      <c r="F169" t="str">
        <f>IF(labs[[#This Row],[Result]]&gt;=labs[[#This Row],[NormalRange]],"good","bad")</f>
        <v>bad</v>
      </c>
    </row>
    <row r="170" spans="1:6" x14ac:dyDescent="0.3">
      <c r="A170">
        <v>169</v>
      </c>
      <c r="B170">
        <v>118</v>
      </c>
      <c r="C170" t="s">
        <v>241</v>
      </c>
      <c r="D170">
        <v>294</v>
      </c>
      <c r="E170" t="s">
        <v>242</v>
      </c>
      <c r="F170" t="str">
        <f>IF(labs[[#This Row],[Result]]&gt;=labs[[#This Row],[NormalRange]],"good","bad")</f>
        <v>bad</v>
      </c>
    </row>
    <row r="171" spans="1:6" x14ac:dyDescent="0.3">
      <c r="A171">
        <v>170</v>
      </c>
      <c r="B171">
        <v>198</v>
      </c>
      <c r="C171" t="s">
        <v>241</v>
      </c>
      <c r="D171">
        <v>134.19999999999999</v>
      </c>
      <c r="E171" t="s">
        <v>242</v>
      </c>
      <c r="F171" t="str">
        <f>IF(labs[[#This Row],[Result]]&gt;=labs[[#This Row],[NormalRange]],"good","bad")</f>
        <v>bad</v>
      </c>
    </row>
    <row r="172" spans="1:6" x14ac:dyDescent="0.3">
      <c r="A172">
        <v>171</v>
      </c>
      <c r="B172">
        <v>200</v>
      </c>
      <c r="C172" t="s">
        <v>236</v>
      </c>
      <c r="D172">
        <v>95.5</v>
      </c>
      <c r="E172" t="s">
        <v>240</v>
      </c>
      <c r="F172" t="str">
        <f>IF(labs[[#This Row],[Result]]&gt;=labs[[#This Row],[NormalRange]],"good","bad")</f>
        <v>bad</v>
      </c>
    </row>
    <row r="173" spans="1:6" x14ac:dyDescent="0.3">
      <c r="A173">
        <v>172</v>
      </c>
      <c r="B173">
        <v>25</v>
      </c>
      <c r="C173" t="s">
        <v>233</v>
      </c>
      <c r="D173">
        <v>247.4</v>
      </c>
      <c r="E173" t="s">
        <v>242</v>
      </c>
      <c r="F173" t="str">
        <f>IF(labs[[#This Row],[Result]]&gt;=labs[[#This Row],[NormalRange]],"good","bad")</f>
        <v>bad</v>
      </c>
    </row>
    <row r="174" spans="1:6" x14ac:dyDescent="0.3">
      <c r="A174">
        <v>173</v>
      </c>
      <c r="B174">
        <v>89</v>
      </c>
      <c r="C174" t="s">
        <v>241</v>
      </c>
      <c r="D174">
        <v>214.7</v>
      </c>
      <c r="E174" t="s">
        <v>240</v>
      </c>
      <c r="F174" t="str">
        <f>IF(labs[[#This Row],[Result]]&gt;=labs[[#This Row],[NormalRange]],"good","bad")</f>
        <v>bad</v>
      </c>
    </row>
    <row r="175" spans="1:6" x14ac:dyDescent="0.3">
      <c r="A175">
        <v>174</v>
      </c>
      <c r="B175">
        <v>12</v>
      </c>
      <c r="C175" t="s">
        <v>238</v>
      </c>
      <c r="D175">
        <v>174.5</v>
      </c>
      <c r="E175" t="s">
        <v>240</v>
      </c>
      <c r="F175" t="str">
        <f>IF(labs[[#This Row],[Result]]&gt;=labs[[#This Row],[NormalRange]],"good","bad")</f>
        <v>bad</v>
      </c>
    </row>
    <row r="176" spans="1:6" x14ac:dyDescent="0.3">
      <c r="A176">
        <v>175</v>
      </c>
      <c r="B176">
        <v>143</v>
      </c>
      <c r="C176" t="s">
        <v>241</v>
      </c>
      <c r="D176">
        <v>188.8</v>
      </c>
      <c r="E176" t="s">
        <v>242</v>
      </c>
      <c r="F176" t="str">
        <f>IF(labs[[#This Row],[Result]]&gt;=labs[[#This Row],[NormalRange]],"good","bad")</f>
        <v>bad</v>
      </c>
    </row>
    <row r="177" spans="1:6" x14ac:dyDescent="0.3">
      <c r="A177">
        <v>176</v>
      </c>
      <c r="B177">
        <v>59</v>
      </c>
      <c r="C177" t="s">
        <v>231</v>
      </c>
      <c r="D177">
        <v>229.8</v>
      </c>
      <c r="E177" t="s">
        <v>237</v>
      </c>
      <c r="F177" t="str">
        <f>IF(labs[[#This Row],[Result]]&gt;=labs[[#This Row],[NormalRange]],"good","bad")</f>
        <v>bad</v>
      </c>
    </row>
    <row r="178" spans="1:6" x14ac:dyDescent="0.3">
      <c r="A178">
        <v>177</v>
      </c>
      <c r="B178">
        <v>154</v>
      </c>
      <c r="C178" t="s">
        <v>233</v>
      </c>
      <c r="D178">
        <v>107.1</v>
      </c>
      <c r="E178" t="s">
        <v>234</v>
      </c>
      <c r="F178" t="str">
        <f>IF(labs[[#This Row],[Result]]&gt;=labs[[#This Row],[NormalRange]],"good","bad")</f>
        <v>bad</v>
      </c>
    </row>
    <row r="179" spans="1:6" x14ac:dyDescent="0.3">
      <c r="A179">
        <v>178</v>
      </c>
      <c r="B179">
        <v>109</v>
      </c>
      <c r="C179" t="s">
        <v>231</v>
      </c>
      <c r="D179">
        <v>299.10000000000002</v>
      </c>
      <c r="E179" t="s">
        <v>232</v>
      </c>
      <c r="F179" t="str">
        <f>IF(labs[[#This Row],[Result]]&gt;=labs[[#This Row],[NormalRange]],"good","bad")</f>
        <v>bad</v>
      </c>
    </row>
    <row r="180" spans="1:6" x14ac:dyDescent="0.3">
      <c r="A180">
        <v>179</v>
      </c>
      <c r="B180">
        <v>26</v>
      </c>
      <c r="C180" t="s">
        <v>233</v>
      </c>
      <c r="D180">
        <v>293.7</v>
      </c>
      <c r="E180" t="s">
        <v>240</v>
      </c>
      <c r="F180" t="str">
        <f>IF(labs[[#This Row],[Result]]&gt;=labs[[#This Row],[NormalRange]],"good","bad")</f>
        <v>bad</v>
      </c>
    </row>
    <row r="181" spans="1:6" x14ac:dyDescent="0.3">
      <c r="A181">
        <v>180</v>
      </c>
      <c r="B181">
        <v>47</v>
      </c>
      <c r="C181" t="s">
        <v>231</v>
      </c>
      <c r="D181">
        <v>212.6</v>
      </c>
      <c r="E181" t="s">
        <v>235</v>
      </c>
      <c r="F181" t="str">
        <f>IF(labs[[#This Row],[Result]]&gt;=labs[[#This Row],[NormalRange]],"good","bad")</f>
        <v>bad</v>
      </c>
    </row>
    <row r="182" spans="1:6" x14ac:dyDescent="0.3">
      <c r="A182">
        <v>181</v>
      </c>
      <c r="B182">
        <v>32</v>
      </c>
      <c r="C182" t="s">
        <v>241</v>
      </c>
      <c r="D182">
        <v>99.9</v>
      </c>
      <c r="E182" t="s">
        <v>235</v>
      </c>
      <c r="F182" t="str">
        <f>IF(labs[[#This Row],[Result]]&gt;=labs[[#This Row],[NormalRange]],"good","bad")</f>
        <v>bad</v>
      </c>
    </row>
    <row r="183" spans="1:6" x14ac:dyDescent="0.3">
      <c r="A183">
        <v>182</v>
      </c>
      <c r="B183">
        <v>10</v>
      </c>
      <c r="C183" t="s">
        <v>241</v>
      </c>
      <c r="D183">
        <v>220.1</v>
      </c>
      <c r="E183" t="s">
        <v>234</v>
      </c>
      <c r="F183" t="str">
        <f>IF(labs[[#This Row],[Result]]&gt;=labs[[#This Row],[NormalRange]],"good","bad")</f>
        <v>bad</v>
      </c>
    </row>
    <row r="184" spans="1:6" x14ac:dyDescent="0.3">
      <c r="A184">
        <v>183</v>
      </c>
      <c r="B184">
        <v>16</v>
      </c>
      <c r="C184" t="s">
        <v>236</v>
      </c>
      <c r="D184">
        <v>68</v>
      </c>
      <c r="E184" t="s">
        <v>235</v>
      </c>
      <c r="F184" t="str">
        <f>IF(labs[[#This Row],[Result]]&gt;=labs[[#This Row],[NormalRange]],"good","bad")</f>
        <v>bad</v>
      </c>
    </row>
    <row r="185" spans="1:6" x14ac:dyDescent="0.3">
      <c r="A185">
        <v>184</v>
      </c>
      <c r="B185">
        <v>199</v>
      </c>
      <c r="C185" t="s">
        <v>238</v>
      </c>
      <c r="D185">
        <v>57.7</v>
      </c>
      <c r="E185" t="s">
        <v>237</v>
      </c>
      <c r="F185" t="str">
        <f>IF(labs[[#This Row],[Result]]&gt;=labs[[#This Row],[NormalRange]],"good","bad")</f>
        <v>bad</v>
      </c>
    </row>
    <row r="186" spans="1:6" x14ac:dyDescent="0.3">
      <c r="A186">
        <v>185</v>
      </c>
      <c r="B186">
        <v>145</v>
      </c>
      <c r="C186" t="s">
        <v>231</v>
      </c>
      <c r="D186">
        <v>114.4</v>
      </c>
      <c r="E186" t="s">
        <v>235</v>
      </c>
      <c r="F186" t="str">
        <f>IF(labs[[#This Row],[Result]]&gt;=labs[[#This Row],[NormalRange]],"good","bad")</f>
        <v>bad</v>
      </c>
    </row>
    <row r="187" spans="1:6" x14ac:dyDescent="0.3">
      <c r="A187">
        <v>186</v>
      </c>
      <c r="B187">
        <v>151</v>
      </c>
      <c r="C187" t="s">
        <v>239</v>
      </c>
      <c r="D187">
        <v>165.7</v>
      </c>
      <c r="E187" t="s">
        <v>232</v>
      </c>
      <c r="F187" t="str">
        <f>IF(labs[[#This Row],[Result]]&gt;=labs[[#This Row],[NormalRange]],"good","bad")</f>
        <v>bad</v>
      </c>
    </row>
    <row r="188" spans="1:6" x14ac:dyDescent="0.3">
      <c r="A188">
        <v>187</v>
      </c>
      <c r="B188">
        <v>26</v>
      </c>
      <c r="C188" t="s">
        <v>236</v>
      </c>
      <c r="D188">
        <v>267.10000000000002</v>
      </c>
      <c r="E188" t="s">
        <v>232</v>
      </c>
      <c r="F188" t="str">
        <f>IF(labs[[#This Row],[Result]]&gt;=labs[[#This Row],[NormalRange]],"good","bad")</f>
        <v>bad</v>
      </c>
    </row>
    <row r="189" spans="1:6" x14ac:dyDescent="0.3">
      <c r="A189">
        <v>188</v>
      </c>
      <c r="B189">
        <v>86</v>
      </c>
      <c r="C189" t="s">
        <v>231</v>
      </c>
      <c r="D189">
        <v>231.8</v>
      </c>
      <c r="E189" t="s">
        <v>240</v>
      </c>
      <c r="F189" t="str">
        <f>IF(labs[[#This Row],[Result]]&gt;=labs[[#This Row],[NormalRange]],"good","bad")</f>
        <v>bad</v>
      </c>
    </row>
    <row r="190" spans="1:6" x14ac:dyDescent="0.3">
      <c r="A190">
        <v>189</v>
      </c>
      <c r="B190">
        <v>135</v>
      </c>
      <c r="C190" t="s">
        <v>231</v>
      </c>
      <c r="D190">
        <v>235.7</v>
      </c>
      <c r="E190" t="s">
        <v>242</v>
      </c>
      <c r="F190" t="str">
        <f>IF(labs[[#This Row],[Result]]&gt;=labs[[#This Row],[NormalRange]],"good","bad")</f>
        <v>bad</v>
      </c>
    </row>
    <row r="191" spans="1:6" x14ac:dyDescent="0.3">
      <c r="A191">
        <v>190</v>
      </c>
      <c r="B191">
        <v>14</v>
      </c>
      <c r="C191" t="s">
        <v>236</v>
      </c>
      <c r="D191">
        <v>156.4</v>
      </c>
      <c r="E191" t="s">
        <v>237</v>
      </c>
      <c r="F191" t="str">
        <f>IF(labs[[#This Row],[Result]]&gt;=labs[[#This Row],[NormalRange]],"good","bad")</f>
        <v>bad</v>
      </c>
    </row>
    <row r="192" spans="1:6" x14ac:dyDescent="0.3">
      <c r="A192">
        <v>191</v>
      </c>
      <c r="B192">
        <v>79</v>
      </c>
      <c r="C192" t="s">
        <v>241</v>
      </c>
      <c r="D192">
        <v>136.5</v>
      </c>
      <c r="E192" t="s">
        <v>240</v>
      </c>
      <c r="F192" t="str">
        <f>IF(labs[[#This Row],[Result]]&gt;=labs[[#This Row],[NormalRange]],"good","bad")</f>
        <v>bad</v>
      </c>
    </row>
    <row r="193" spans="1:6" x14ac:dyDescent="0.3">
      <c r="A193">
        <v>192</v>
      </c>
      <c r="B193">
        <v>117</v>
      </c>
      <c r="C193" t="s">
        <v>231</v>
      </c>
      <c r="D193">
        <v>142.80000000000001</v>
      </c>
      <c r="E193" t="s">
        <v>237</v>
      </c>
      <c r="F193" t="str">
        <f>IF(labs[[#This Row],[Result]]&gt;=labs[[#This Row],[NormalRange]],"good","bad")</f>
        <v>bad</v>
      </c>
    </row>
    <row r="194" spans="1:6" x14ac:dyDescent="0.3">
      <c r="A194">
        <v>193</v>
      </c>
      <c r="B194">
        <v>7</v>
      </c>
      <c r="C194" t="s">
        <v>241</v>
      </c>
      <c r="D194">
        <v>296.89999999999998</v>
      </c>
      <c r="E194" t="s">
        <v>242</v>
      </c>
      <c r="F194" t="str">
        <f>IF(labs[[#This Row],[Result]]&gt;=labs[[#This Row],[NormalRange]],"good","bad")</f>
        <v>bad</v>
      </c>
    </row>
    <row r="195" spans="1:6" x14ac:dyDescent="0.3">
      <c r="A195">
        <v>194</v>
      </c>
      <c r="B195">
        <v>137</v>
      </c>
      <c r="C195" t="s">
        <v>236</v>
      </c>
      <c r="D195">
        <v>60</v>
      </c>
      <c r="E195" t="s">
        <v>235</v>
      </c>
      <c r="F195" t="str">
        <f>IF(labs[[#This Row],[Result]]&gt;=labs[[#This Row],[NormalRange]],"good","bad")</f>
        <v>bad</v>
      </c>
    </row>
    <row r="196" spans="1:6" x14ac:dyDescent="0.3">
      <c r="A196">
        <v>195</v>
      </c>
      <c r="B196">
        <v>115</v>
      </c>
      <c r="C196" t="s">
        <v>241</v>
      </c>
      <c r="D196">
        <v>266.8</v>
      </c>
      <c r="E196" t="s">
        <v>235</v>
      </c>
      <c r="F196" t="str">
        <f>IF(labs[[#This Row],[Result]]&gt;=labs[[#This Row],[NormalRange]],"good","bad")</f>
        <v>bad</v>
      </c>
    </row>
    <row r="197" spans="1:6" x14ac:dyDescent="0.3">
      <c r="A197">
        <v>196</v>
      </c>
      <c r="B197">
        <v>176</v>
      </c>
      <c r="C197" t="s">
        <v>233</v>
      </c>
      <c r="D197">
        <v>194.7</v>
      </c>
      <c r="E197" t="s">
        <v>242</v>
      </c>
      <c r="F197" t="str">
        <f>IF(labs[[#This Row],[Result]]&gt;=labs[[#This Row],[NormalRange]],"good","bad")</f>
        <v>bad</v>
      </c>
    </row>
    <row r="198" spans="1:6" x14ac:dyDescent="0.3">
      <c r="A198">
        <v>197</v>
      </c>
      <c r="B198">
        <v>72</v>
      </c>
      <c r="C198" t="s">
        <v>239</v>
      </c>
      <c r="D198">
        <v>159.69999999999999</v>
      </c>
      <c r="E198" t="s">
        <v>240</v>
      </c>
      <c r="F198" t="str">
        <f>IF(labs[[#This Row],[Result]]&gt;=labs[[#This Row],[NormalRange]],"good","bad")</f>
        <v>bad</v>
      </c>
    </row>
    <row r="199" spans="1:6" x14ac:dyDescent="0.3">
      <c r="A199">
        <v>198</v>
      </c>
      <c r="B199">
        <v>59</v>
      </c>
      <c r="C199" t="s">
        <v>231</v>
      </c>
      <c r="D199">
        <v>231.3</v>
      </c>
      <c r="E199" t="s">
        <v>242</v>
      </c>
      <c r="F199" t="str">
        <f>IF(labs[[#This Row],[Result]]&gt;=labs[[#This Row],[NormalRange]],"good","bad")</f>
        <v>bad</v>
      </c>
    </row>
    <row r="200" spans="1:6" x14ac:dyDescent="0.3">
      <c r="A200">
        <v>199</v>
      </c>
      <c r="B200">
        <v>82</v>
      </c>
      <c r="C200" t="s">
        <v>238</v>
      </c>
      <c r="D200">
        <v>171.7</v>
      </c>
      <c r="E200" t="s">
        <v>234</v>
      </c>
      <c r="F200" t="str">
        <f>IF(labs[[#This Row],[Result]]&gt;=labs[[#This Row],[NormalRange]],"good","bad")</f>
        <v>bad</v>
      </c>
    </row>
    <row r="201" spans="1:6" x14ac:dyDescent="0.3">
      <c r="A201">
        <v>200</v>
      </c>
      <c r="B201">
        <v>116</v>
      </c>
      <c r="C201" t="s">
        <v>239</v>
      </c>
      <c r="D201">
        <v>268.39999999999998</v>
      </c>
      <c r="E201" t="s">
        <v>232</v>
      </c>
      <c r="F201" t="str">
        <f>IF(labs[[#This Row],[Result]]&gt;=labs[[#This Row],[NormalRange]],"good","bad")</f>
        <v>bad</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1DB5E-148B-4F0F-A74A-9649057C1938}">
  <sheetPr codeName="Sheet2"/>
  <dimension ref="A1:B11"/>
  <sheetViews>
    <sheetView workbookViewId="0"/>
  </sheetViews>
  <sheetFormatPr defaultRowHeight="14.4" x14ac:dyDescent="0.3"/>
  <cols>
    <col min="1" max="1" width="12.88671875" bestFit="1" customWidth="1"/>
    <col min="2" max="2" width="16.21875" bestFit="1" customWidth="1"/>
  </cols>
  <sheetData>
    <row r="1" spans="1:2" x14ac:dyDescent="0.3">
      <c r="A1" t="s">
        <v>5</v>
      </c>
      <c r="B1" t="s">
        <v>216</v>
      </c>
    </row>
    <row r="2" spans="1:2" x14ac:dyDescent="0.3">
      <c r="A2">
        <v>1</v>
      </c>
      <c r="B2" t="s">
        <v>217</v>
      </c>
    </row>
    <row r="3" spans="1:2" x14ac:dyDescent="0.3">
      <c r="A3">
        <v>2</v>
      </c>
      <c r="B3" t="s">
        <v>218</v>
      </c>
    </row>
    <row r="4" spans="1:2" x14ac:dyDescent="0.3">
      <c r="A4">
        <v>3</v>
      </c>
      <c r="B4" t="s">
        <v>219</v>
      </c>
    </row>
    <row r="5" spans="1:2" x14ac:dyDescent="0.3">
      <c r="A5">
        <v>4</v>
      </c>
      <c r="B5" t="s">
        <v>220</v>
      </c>
    </row>
    <row r="6" spans="1:2" x14ac:dyDescent="0.3">
      <c r="A6">
        <v>5</v>
      </c>
      <c r="B6" t="s">
        <v>221</v>
      </c>
    </row>
    <row r="7" spans="1:2" x14ac:dyDescent="0.3">
      <c r="A7">
        <v>6</v>
      </c>
      <c r="B7" t="s">
        <v>222</v>
      </c>
    </row>
    <row r="8" spans="1:2" x14ac:dyDescent="0.3">
      <c r="A8">
        <v>7</v>
      </c>
      <c r="B8" t="s">
        <v>223</v>
      </c>
    </row>
    <row r="9" spans="1:2" x14ac:dyDescent="0.3">
      <c r="A9">
        <v>8</v>
      </c>
      <c r="B9" t="s">
        <v>224</v>
      </c>
    </row>
    <row r="10" spans="1:2" x14ac:dyDescent="0.3">
      <c r="A10">
        <v>9</v>
      </c>
      <c r="B10" t="s">
        <v>225</v>
      </c>
    </row>
    <row r="11" spans="1:2" x14ac:dyDescent="0.3">
      <c r="A11">
        <v>10</v>
      </c>
      <c r="B11" t="s">
        <v>226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0F20A-97D5-4279-B103-32F21CC64DD4}">
  <sheetPr codeName="Sheet3"/>
  <dimension ref="A1:B4"/>
  <sheetViews>
    <sheetView workbookViewId="0"/>
  </sheetViews>
  <sheetFormatPr defaultRowHeight="14.4" x14ac:dyDescent="0.3"/>
  <cols>
    <col min="1" max="1" width="12.77734375" bestFit="1" customWidth="1"/>
    <col min="2" max="2" width="16.109375" bestFit="1" customWidth="1"/>
  </cols>
  <sheetData>
    <row r="1" spans="1:2" x14ac:dyDescent="0.3">
      <c r="A1" t="s">
        <v>8</v>
      </c>
      <c r="B1" t="s">
        <v>212</v>
      </c>
    </row>
    <row r="2" spans="1:2" x14ac:dyDescent="0.3">
      <c r="A2">
        <v>1</v>
      </c>
      <c r="B2" t="s">
        <v>213</v>
      </c>
    </row>
    <row r="3" spans="1:2" x14ac:dyDescent="0.3">
      <c r="A3">
        <v>2</v>
      </c>
      <c r="B3" t="s">
        <v>214</v>
      </c>
    </row>
    <row r="4" spans="1:2" x14ac:dyDescent="0.3">
      <c r="A4">
        <v>3</v>
      </c>
      <c r="B4" t="s">
        <v>215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8EA87-2714-4F25-BCB8-676921470CFD}">
  <sheetPr codeName="Sheet4"/>
  <dimension ref="A1:N201"/>
  <sheetViews>
    <sheetView tabSelected="1" workbookViewId="0">
      <selection activeCell="Q6" sqref="Q6"/>
    </sheetView>
  </sheetViews>
  <sheetFormatPr defaultRowHeight="14.4" x14ac:dyDescent="0.3"/>
  <cols>
    <col min="1" max="1" width="11" bestFit="1" customWidth="1"/>
    <col min="2" max="2" width="20.5546875" bestFit="1" customWidth="1"/>
    <col min="3" max="3" width="6.44140625" bestFit="1" customWidth="1"/>
    <col min="4" max="4" width="9.33203125" bestFit="1" customWidth="1"/>
    <col min="5" max="5" width="12.88671875" bestFit="1" customWidth="1"/>
    <col min="6" max="6" width="12.88671875" customWidth="1"/>
    <col min="7" max="7" width="15.88671875" bestFit="1" customWidth="1"/>
    <col min="8" max="8" width="15.33203125" bestFit="1" customWidth="1"/>
    <col min="9" max="9" width="15.33203125" customWidth="1"/>
    <col min="10" max="10" width="12.77734375" bestFit="1" customWidth="1"/>
    <col min="11" max="11" width="12.77734375" customWidth="1"/>
    <col min="12" max="12" width="15.77734375" bestFit="1" customWidth="1"/>
    <col min="13" max="13" width="13.109375" bestFit="1" customWidth="1"/>
  </cols>
  <sheetData>
    <row r="1" spans="1:14" x14ac:dyDescent="0.3">
      <c r="A1" t="s">
        <v>1</v>
      </c>
      <c r="B1" t="s">
        <v>2</v>
      </c>
      <c r="C1" t="s">
        <v>3</v>
      </c>
      <c r="D1" t="s">
        <v>4</v>
      </c>
      <c r="E1" t="s">
        <v>5</v>
      </c>
      <c r="F1" t="s">
        <v>243</v>
      </c>
      <c r="G1" t="s">
        <v>6</v>
      </c>
      <c r="H1" t="s">
        <v>7</v>
      </c>
      <c r="I1" t="s">
        <v>244</v>
      </c>
      <c r="J1" t="s">
        <v>8</v>
      </c>
      <c r="K1" t="s">
        <v>245</v>
      </c>
      <c r="L1" t="s">
        <v>9</v>
      </c>
      <c r="M1" t="s">
        <v>246</v>
      </c>
      <c r="N1" t="s">
        <v>247</v>
      </c>
    </row>
    <row r="2" spans="1:14" x14ac:dyDescent="0.3">
      <c r="A2">
        <v>1</v>
      </c>
      <c r="B2" t="s">
        <v>10</v>
      </c>
      <c r="C2">
        <v>68</v>
      </c>
      <c r="D2" t="s">
        <v>11</v>
      </c>
      <c r="E2">
        <v>2</v>
      </c>
      <c r="F2" t="str">
        <f>VLOOKUP(patients[[#This Row],[DiagnosisID]],diagnoses[#All],2)</f>
        <v>Diabetes</v>
      </c>
      <c r="G2" s="1">
        <v>45738</v>
      </c>
      <c r="H2" s="1">
        <v>45751</v>
      </c>
      <c r="I2" s="2">
        <f>_xlfn.DAYS(patients[[#This Row],[DischargeDate]],patients[[#This Row],[AdmissionDate]])</f>
        <v>13</v>
      </c>
      <c r="J2">
        <v>1</v>
      </c>
      <c r="K2" t="str">
        <f>VLOOKUP(patients[[#This Row],[OutcomeID]],outcomes[],2)</f>
        <v>Recovered</v>
      </c>
      <c r="L2">
        <v>4443</v>
      </c>
      <c r="M2" t="str">
        <f>VLOOKUP(patients[[#This Row],[PatientID]],labs[[LabID]:[TestName]],3)</f>
        <v>Blood Pressure</v>
      </c>
      <c r="N2">
        <f>VLOOKUP(patients[[#This Row],[PatientID]],labs[],4)</f>
        <v>89.7</v>
      </c>
    </row>
    <row r="3" spans="1:14" x14ac:dyDescent="0.3">
      <c r="A3">
        <v>2</v>
      </c>
      <c r="B3" t="s">
        <v>12</v>
      </c>
      <c r="C3">
        <v>81</v>
      </c>
      <c r="D3" t="s">
        <v>11</v>
      </c>
      <c r="E3">
        <v>2</v>
      </c>
      <c r="F3" t="str">
        <f>VLOOKUP(patients[[#This Row],[DiagnosisID]],diagnoses[#All],2)</f>
        <v>Diabetes</v>
      </c>
      <c r="G3" s="1">
        <v>45747</v>
      </c>
      <c r="H3" s="1">
        <v>45749</v>
      </c>
      <c r="I3" s="2">
        <f>_xlfn.DAYS(patients[[#This Row],[DischargeDate]],patients[[#This Row],[AdmissionDate]])</f>
        <v>2</v>
      </c>
      <c r="J3">
        <v>2</v>
      </c>
      <c r="K3" t="str">
        <f>VLOOKUP(patients[[#This Row],[OutcomeID]],outcomes[],2)</f>
        <v>Complicated</v>
      </c>
      <c r="L3">
        <v>4265</v>
      </c>
      <c r="M3" t="str">
        <f>VLOOKUP(patients[[#This Row],[PatientID]],labs[[LabID]:[TestName]],3)</f>
        <v>Cholesterol</v>
      </c>
      <c r="N3">
        <f>VLOOKUP(patients[[#This Row],[PatientID]],labs[],4)</f>
        <v>270.2</v>
      </c>
    </row>
    <row r="4" spans="1:14" x14ac:dyDescent="0.3">
      <c r="A4">
        <v>3</v>
      </c>
      <c r="B4" t="s">
        <v>13</v>
      </c>
      <c r="C4">
        <v>58</v>
      </c>
      <c r="D4" t="s">
        <v>11</v>
      </c>
      <c r="E4">
        <v>6</v>
      </c>
      <c r="F4" t="str">
        <f>VLOOKUP(patients[[#This Row],[DiagnosisID]],diagnoses[#All],2)</f>
        <v>COPD</v>
      </c>
      <c r="G4" s="1">
        <v>45665</v>
      </c>
      <c r="H4" s="1">
        <v>45729</v>
      </c>
      <c r="I4" s="2">
        <f>_xlfn.DAYS(patients[[#This Row],[DischargeDate]],patients[[#This Row],[AdmissionDate]])</f>
        <v>64</v>
      </c>
      <c r="J4">
        <v>1</v>
      </c>
      <c r="K4" t="str">
        <f>VLOOKUP(patients[[#This Row],[OutcomeID]],outcomes[],2)</f>
        <v>Recovered</v>
      </c>
      <c r="L4">
        <v>4188</v>
      </c>
      <c r="M4" t="str">
        <f>VLOOKUP(patients[[#This Row],[PatientID]],labs[[LabID]:[TestName]],3)</f>
        <v>Blood Pressure</v>
      </c>
      <c r="N4">
        <f>VLOOKUP(patients[[#This Row],[PatientID]],labs[],4)</f>
        <v>268</v>
      </c>
    </row>
    <row r="5" spans="1:14" x14ac:dyDescent="0.3">
      <c r="A5">
        <v>4</v>
      </c>
      <c r="B5" t="s">
        <v>14</v>
      </c>
      <c r="C5">
        <v>44</v>
      </c>
      <c r="D5" t="s">
        <v>15</v>
      </c>
      <c r="E5">
        <v>3</v>
      </c>
      <c r="F5" t="str">
        <f>VLOOKUP(patients[[#This Row],[DiagnosisID]],diagnoses[#All],2)</f>
        <v>Heart Disease</v>
      </c>
      <c r="G5" s="1">
        <v>45750</v>
      </c>
      <c r="H5" s="1">
        <v>45752</v>
      </c>
      <c r="I5" s="2">
        <f>_xlfn.DAYS(patients[[#This Row],[DischargeDate]],patients[[#This Row],[AdmissionDate]])</f>
        <v>2</v>
      </c>
      <c r="J5">
        <v>1</v>
      </c>
      <c r="K5" t="str">
        <f>VLOOKUP(patients[[#This Row],[OutcomeID]],outcomes[],2)</f>
        <v>Recovered</v>
      </c>
      <c r="L5">
        <v>9783</v>
      </c>
      <c r="M5" t="str">
        <f>VLOOKUP(patients[[#This Row],[PatientID]],labs[[LabID]:[TestName]],3)</f>
        <v>Cholesterol</v>
      </c>
      <c r="N5">
        <f>VLOOKUP(patients[[#This Row],[PatientID]],labs[],4)</f>
        <v>57.3</v>
      </c>
    </row>
    <row r="6" spans="1:14" x14ac:dyDescent="0.3">
      <c r="A6">
        <v>5</v>
      </c>
      <c r="B6" t="s">
        <v>16</v>
      </c>
      <c r="C6">
        <v>72</v>
      </c>
      <c r="D6" t="s">
        <v>15</v>
      </c>
      <c r="E6">
        <v>9</v>
      </c>
      <c r="F6" t="str">
        <f>VLOOKUP(patients[[#This Row],[DiagnosisID]],diagnoses[#All],2)</f>
        <v>Kidney Disease</v>
      </c>
      <c r="G6" s="1">
        <v>45811</v>
      </c>
      <c r="H6" s="1">
        <v>45812</v>
      </c>
      <c r="I6" s="2">
        <f>_xlfn.DAYS(patients[[#This Row],[DischargeDate]],patients[[#This Row],[AdmissionDate]])</f>
        <v>1</v>
      </c>
      <c r="J6">
        <v>1</v>
      </c>
      <c r="K6" t="str">
        <f>VLOOKUP(patients[[#This Row],[OutcomeID]],outcomes[],2)</f>
        <v>Recovered</v>
      </c>
      <c r="L6">
        <v>5005</v>
      </c>
      <c r="M6" t="str">
        <f>VLOOKUP(patients[[#This Row],[PatientID]],labs[[LabID]:[TestName]],3)</f>
        <v>Blood Sugar</v>
      </c>
      <c r="N6">
        <f>VLOOKUP(patients[[#This Row],[PatientID]],labs[],4)</f>
        <v>256.5</v>
      </c>
    </row>
    <row r="7" spans="1:14" x14ac:dyDescent="0.3">
      <c r="A7">
        <v>6</v>
      </c>
      <c r="B7" t="s">
        <v>17</v>
      </c>
      <c r="C7">
        <v>37</v>
      </c>
      <c r="D7" t="s">
        <v>15</v>
      </c>
      <c r="E7">
        <v>4</v>
      </c>
      <c r="F7" t="str">
        <f>VLOOKUP(patients[[#This Row],[DiagnosisID]],diagnoses[#All],2)</f>
        <v>Asthma</v>
      </c>
      <c r="G7" s="1">
        <v>45747</v>
      </c>
      <c r="H7" s="1">
        <v>45752</v>
      </c>
      <c r="I7" s="2">
        <f>_xlfn.DAYS(patients[[#This Row],[DischargeDate]],patients[[#This Row],[AdmissionDate]])</f>
        <v>5</v>
      </c>
      <c r="J7">
        <v>1</v>
      </c>
      <c r="K7" t="str">
        <f>VLOOKUP(patients[[#This Row],[OutcomeID]],outcomes[],2)</f>
        <v>Recovered</v>
      </c>
      <c r="L7">
        <v>5281</v>
      </c>
      <c r="M7" t="str">
        <f>VLOOKUP(patients[[#This Row],[PatientID]],labs[[LabID]:[TestName]],3)</f>
        <v>Creatinine</v>
      </c>
      <c r="N7">
        <f>VLOOKUP(patients[[#This Row],[PatientID]],labs[],4)</f>
        <v>82.2</v>
      </c>
    </row>
    <row r="8" spans="1:14" x14ac:dyDescent="0.3">
      <c r="A8">
        <v>7</v>
      </c>
      <c r="B8" t="s">
        <v>18</v>
      </c>
      <c r="C8">
        <v>50</v>
      </c>
      <c r="D8" t="s">
        <v>15</v>
      </c>
      <c r="E8">
        <v>1</v>
      </c>
      <c r="F8" t="str">
        <f>VLOOKUP(patients[[#This Row],[DiagnosisID]],diagnoses[#All],2)</f>
        <v>Hypertension</v>
      </c>
      <c r="G8" s="1">
        <v>45819</v>
      </c>
      <c r="H8" s="1">
        <v>45843</v>
      </c>
      <c r="I8" s="2">
        <f>_xlfn.DAYS(patients[[#This Row],[DischargeDate]],patients[[#This Row],[AdmissionDate]])</f>
        <v>24</v>
      </c>
      <c r="J8">
        <v>2</v>
      </c>
      <c r="K8" t="str">
        <f>VLOOKUP(patients[[#This Row],[OutcomeID]],outcomes[],2)</f>
        <v>Complicated</v>
      </c>
      <c r="L8">
        <v>2984</v>
      </c>
      <c r="M8" t="str">
        <f>VLOOKUP(patients[[#This Row],[PatientID]],labs[[LabID]:[TestName]],3)</f>
        <v>Blood Pressure</v>
      </c>
      <c r="N8">
        <f>VLOOKUP(patients[[#This Row],[PatientID]],labs[],4)</f>
        <v>133.80000000000001</v>
      </c>
    </row>
    <row r="9" spans="1:14" x14ac:dyDescent="0.3">
      <c r="A9">
        <v>8</v>
      </c>
      <c r="B9" t="s">
        <v>19</v>
      </c>
      <c r="C9">
        <v>68</v>
      </c>
      <c r="D9" t="s">
        <v>11</v>
      </c>
      <c r="E9">
        <v>4</v>
      </c>
      <c r="F9" t="str">
        <f>VLOOKUP(patients[[#This Row],[DiagnosisID]],diagnoses[#All],2)</f>
        <v>Asthma</v>
      </c>
      <c r="G9" s="1">
        <v>45772</v>
      </c>
      <c r="H9" s="1">
        <v>45827</v>
      </c>
      <c r="I9" s="2">
        <f>_xlfn.DAYS(patients[[#This Row],[DischargeDate]],patients[[#This Row],[AdmissionDate]])</f>
        <v>55</v>
      </c>
      <c r="J9">
        <v>1</v>
      </c>
      <c r="K9" t="str">
        <f>VLOOKUP(patients[[#This Row],[OutcomeID]],outcomes[],2)</f>
        <v>Recovered</v>
      </c>
      <c r="L9">
        <v>9136</v>
      </c>
      <c r="M9" t="str">
        <f>VLOOKUP(patients[[#This Row],[PatientID]],labs[[LabID]:[TestName]],3)</f>
        <v>Hemoglobin</v>
      </c>
      <c r="N9">
        <f>VLOOKUP(patients[[#This Row],[PatientID]],labs[],4)</f>
        <v>235.9</v>
      </c>
    </row>
    <row r="10" spans="1:14" x14ac:dyDescent="0.3">
      <c r="A10">
        <v>9</v>
      </c>
      <c r="B10" t="s">
        <v>20</v>
      </c>
      <c r="C10">
        <v>87</v>
      </c>
      <c r="D10" t="s">
        <v>15</v>
      </c>
      <c r="E10">
        <v>1</v>
      </c>
      <c r="F10" t="str">
        <f>VLOOKUP(patients[[#This Row],[DiagnosisID]],diagnoses[#All],2)</f>
        <v>Hypertension</v>
      </c>
      <c r="G10" s="1">
        <v>45762</v>
      </c>
      <c r="H10" s="1">
        <v>45764</v>
      </c>
      <c r="I10" s="2">
        <f>_xlfn.DAYS(patients[[#This Row],[DischargeDate]],patients[[#This Row],[AdmissionDate]])</f>
        <v>2</v>
      </c>
      <c r="J10">
        <v>2</v>
      </c>
      <c r="K10" t="str">
        <f>VLOOKUP(patients[[#This Row],[OutcomeID]],outcomes[],2)</f>
        <v>Complicated</v>
      </c>
      <c r="L10">
        <v>9790</v>
      </c>
      <c r="M10" t="str">
        <f>VLOOKUP(patients[[#This Row],[PatientID]],labs[[LabID]:[TestName]],3)</f>
        <v>Hemoglobin</v>
      </c>
      <c r="N10">
        <f>VLOOKUP(patients[[#This Row],[PatientID]],labs[],4)</f>
        <v>90.2</v>
      </c>
    </row>
    <row r="11" spans="1:14" x14ac:dyDescent="0.3">
      <c r="A11">
        <v>10</v>
      </c>
      <c r="B11" t="s">
        <v>21</v>
      </c>
      <c r="C11">
        <v>48</v>
      </c>
      <c r="D11" t="s">
        <v>11</v>
      </c>
      <c r="E11">
        <v>5</v>
      </c>
      <c r="F11" t="str">
        <f>VLOOKUP(patients[[#This Row],[DiagnosisID]],diagnoses[#All],2)</f>
        <v>Stroke</v>
      </c>
      <c r="G11" s="1">
        <v>45792</v>
      </c>
      <c r="H11" s="1">
        <v>45796</v>
      </c>
      <c r="I11" s="2">
        <f>_xlfn.DAYS(patients[[#This Row],[DischargeDate]],patients[[#This Row],[AdmissionDate]])</f>
        <v>4</v>
      </c>
      <c r="J11">
        <v>2</v>
      </c>
      <c r="K11" t="str">
        <f>VLOOKUP(patients[[#This Row],[OutcomeID]],outcomes[],2)</f>
        <v>Complicated</v>
      </c>
      <c r="L11">
        <v>3639</v>
      </c>
      <c r="M11" t="str">
        <f>VLOOKUP(patients[[#This Row],[PatientID]],labs[[LabID]:[TestName]],3)</f>
        <v>Vitamin D</v>
      </c>
      <c r="N11">
        <f>VLOOKUP(patients[[#This Row],[PatientID]],labs[],4)</f>
        <v>254.5</v>
      </c>
    </row>
    <row r="12" spans="1:14" x14ac:dyDescent="0.3">
      <c r="A12">
        <v>11</v>
      </c>
      <c r="B12" t="s">
        <v>22</v>
      </c>
      <c r="C12">
        <v>52</v>
      </c>
      <c r="D12" t="s">
        <v>11</v>
      </c>
      <c r="E12">
        <v>4</v>
      </c>
      <c r="F12" t="str">
        <f>VLOOKUP(patients[[#This Row],[DiagnosisID]],diagnoses[#All],2)</f>
        <v>Asthma</v>
      </c>
      <c r="G12" s="1">
        <v>45715</v>
      </c>
      <c r="H12" s="1">
        <v>45765</v>
      </c>
      <c r="I12" s="2">
        <f>_xlfn.DAYS(patients[[#This Row],[DischargeDate]],patients[[#This Row],[AdmissionDate]])</f>
        <v>50</v>
      </c>
      <c r="J12">
        <v>3</v>
      </c>
      <c r="K12" t="str">
        <f>VLOOKUP(patients[[#This Row],[OutcomeID]],outcomes[],2)</f>
        <v>Deceased</v>
      </c>
      <c r="L12">
        <v>2827</v>
      </c>
      <c r="M12" t="str">
        <f>VLOOKUP(patients[[#This Row],[PatientID]],labs[[LabID]:[TestName]],3)</f>
        <v>Cholesterol</v>
      </c>
      <c r="N12">
        <f>VLOOKUP(patients[[#This Row],[PatientID]],labs[],4)</f>
        <v>258</v>
      </c>
    </row>
    <row r="13" spans="1:14" x14ac:dyDescent="0.3">
      <c r="A13">
        <v>12</v>
      </c>
      <c r="B13" t="s">
        <v>23</v>
      </c>
      <c r="C13">
        <v>40</v>
      </c>
      <c r="D13" t="s">
        <v>15</v>
      </c>
      <c r="E13">
        <v>8</v>
      </c>
      <c r="F13" t="str">
        <f>VLOOKUP(patients[[#This Row],[DiagnosisID]],diagnoses[#All],2)</f>
        <v>Arthritis</v>
      </c>
      <c r="G13" s="1">
        <v>45771</v>
      </c>
      <c r="H13" s="1">
        <v>45795</v>
      </c>
      <c r="I13" s="2">
        <f>_xlfn.DAYS(patients[[#This Row],[DischargeDate]],patients[[#This Row],[AdmissionDate]])</f>
        <v>24</v>
      </c>
      <c r="J13">
        <v>2</v>
      </c>
      <c r="K13" t="str">
        <f>VLOOKUP(patients[[#This Row],[OutcomeID]],outcomes[],2)</f>
        <v>Complicated</v>
      </c>
      <c r="L13">
        <v>4730</v>
      </c>
      <c r="M13" t="str">
        <f>VLOOKUP(patients[[#This Row],[PatientID]],labs[[LabID]:[TestName]],3)</f>
        <v>Blood Pressure</v>
      </c>
      <c r="N13">
        <f>VLOOKUP(patients[[#This Row],[PatientID]],labs[],4)</f>
        <v>176.9</v>
      </c>
    </row>
    <row r="14" spans="1:14" x14ac:dyDescent="0.3">
      <c r="A14">
        <v>13</v>
      </c>
      <c r="B14" t="s">
        <v>24</v>
      </c>
      <c r="C14">
        <v>40</v>
      </c>
      <c r="D14" t="s">
        <v>15</v>
      </c>
      <c r="E14">
        <v>8</v>
      </c>
      <c r="F14" t="str">
        <f>VLOOKUP(patients[[#This Row],[DiagnosisID]],diagnoses[#All],2)</f>
        <v>Arthritis</v>
      </c>
      <c r="G14" s="1">
        <v>45732</v>
      </c>
      <c r="H14" s="1">
        <v>45815</v>
      </c>
      <c r="I14" s="2">
        <f>_xlfn.DAYS(patients[[#This Row],[DischargeDate]],patients[[#This Row],[AdmissionDate]])</f>
        <v>83</v>
      </c>
      <c r="J14">
        <v>3</v>
      </c>
      <c r="K14" t="str">
        <f>VLOOKUP(patients[[#This Row],[OutcomeID]],outcomes[],2)</f>
        <v>Deceased</v>
      </c>
      <c r="L14">
        <v>5531</v>
      </c>
      <c r="M14" t="str">
        <f>VLOOKUP(patients[[#This Row],[PatientID]],labs[[LabID]:[TestName]],3)</f>
        <v>Vitamin D</v>
      </c>
      <c r="N14">
        <f>VLOOKUP(patients[[#This Row],[PatientID]],labs[],4)</f>
        <v>51.6</v>
      </c>
    </row>
    <row r="15" spans="1:14" x14ac:dyDescent="0.3">
      <c r="A15">
        <v>14</v>
      </c>
      <c r="B15" t="s">
        <v>25</v>
      </c>
      <c r="C15">
        <v>53</v>
      </c>
      <c r="D15" t="s">
        <v>15</v>
      </c>
      <c r="E15">
        <v>7</v>
      </c>
      <c r="F15" t="str">
        <f>VLOOKUP(patients[[#This Row],[DiagnosisID]],diagnoses[#All],2)</f>
        <v>Cancer</v>
      </c>
      <c r="G15" s="1">
        <v>45814</v>
      </c>
      <c r="H15" s="1">
        <v>45818</v>
      </c>
      <c r="I15" s="2">
        <f>_xlfn.DAYS(patients[[#This Row],[DischargeDate]],patients[[#This Row],[AdmissionDate]])</f>
        <v>4</v>
      </c>
      <c r="J15">
        <v>2</v>
      </c>
      <c r="K15" t="str">
        <f>VLOOKUP(patients[[#This Row],[OutcomeID]],outcomes[],2)</f>
        <v>Complicated</v>
      </c>
      <c r="L15">
        <v>9147</v>
      </c>
      <c r="M15" t="str">
        <f>VLOOKUP(patients[[#This Row],[PatientID]],labs[[LabID]:[TestName]],3)</f>
        <v>Blood Pressure</v>
      </c>
      <c r="N15">
        <f>VLOOKUP(patients[[#This Row],[PatientID]],labs[],4)</f>
        <v>121.8</v>
      </c>
    </row>
    <row r="16" spans="1:14" x14ac:dyDescent="0.3">
      <c r="A16">
        <v>15</v>
      </c>
      <c r="B16" t="s">
        <v>26</v>
      </c>
      <c r="C16">
        <v>82</v>
      </c>
      <c r="D16" t="s">
        <v>15</v>
      </c>
      <c r="E16">
        <v>3</v>
      </c>
      <c r="F16" t="str">
        <f>VLOOKUP(patients[[#This Row],[DiagnosisID]],diagnoses[#All],2)</f>
        <v>Heart Disease</v>
      </c>
      <c r="G16" s="1">
        <v>45777</v>
      </c>
      <c r="H16" s="1">
        <v>45780</v>
      </c>
      <c r="I16" s="2">
        <f>_xlfn.DAYS(patients[[#This Row],[DischargeDate]],patients[[#This Row],[AdmissionDate]])</f>
        <v>3</v>
      </c>
      <c r="J16">
        <v>2</v>
      </c>
      <c r="K16" t="str">
        <f>VLOOKUP(patients[[#This Row],[OutcomeID]],outcomes[],2)</f>
        <v>Complicated</v>
      </c>
      <c r="L16">
        <v>6451</v>
      </c>
      <c r="M16" t="str">
        <f>VLOOKUP(patients[[#This Row],[PatientID]],labs[[LabID]:[TestName]],3)</f>
        <v>Cholesterol</v>
      </c>
      <c r="N16">
        <f>VLOOKUP(patients[[#This Row],[PatientID]],labs[],4)</f>
        <v>204.2</v>
      </c>
    </row>
    <row r="17" spans="1:14" x14ac:dyDescent="0.3">
      <c r="A17">
        <v>16</v>
      </c>
      <c r="B17" t="s">
        <v>27</v>
      </c>
      <c r="C17">
        <v>65</v>
      </c>
      <c r="D17" t="s">
        <v>15</v>
      </c>
      <c r="E17">
        <v>1</v>
      </c>
      <c r="F17" t="str">
        <f>VLOOKUP(patients[[#This Row],[DiagnosisID]],diagnoses[#All],2)</f>
        <v>Hypertension</v>
      </c>
      <c r="G17" s="1">
        <v>45821</v>
      </c>
      <c r="H17" s="1">
        <v>45823</v>
      </c>
      <c r="I17" s="2">
        <f>_xlfn.DAYS(patients[[#This Row],[DischargeDate]],patients[[#This Row],[AdmissionDate]])</f>
        <v>2</v>
      </c>
      <c r="J17">
        <v>2</v>
      </c>
      <c r="K17" t="str">
        <f>VLOOKUP(patients[[#This Row],[OutcomeID]],outcomes[],2)</f>
        <v>Complicated</v>
      </c>
      <c r="L17">
        <v>9151</v>
      </c>
      <c r="M17" t="str">
        <f>VLOOKUP(patients[[#This Row],[PatientID]],labs[[LabID]:[TestName]],3)</f>
        <v>Hemoglobin</v>
      </c>
      <c r="N17">
        <f>VLOOKUP(patients[[#This Row],[PatientID]],labs[],4)</f>
        <v>295.3</v>
      </c>
    </row>
    <row r="18" spans="1:14" x14ac:dyDescent="0.3">
      <c r="A18">
        <v>17</v>
      </c>
      <c r="B18" t="s">
        <v>28</v>
      </c>
      <c r="C18">
        <v>69</v>
      </c>
      <c r="D18" t="s">
        <v>15</v>
      </c>
      <c r="E18">
        <v>1</v>
      </c>
      <c r="F18" t="str">
        <f>VLOOKUP(patients[[#This Row],[DiagnosisID]],diagnoses[#All],2)</f>
        <v>Hypertension</v>
      </c>
      <c r="G18" s="1">
        <v>45678</v>
      </c>
      <c r="H18" s="1">
        <v>45799</v>
      </c>
      <c r="I18" s="2">
        <f>_xlfn.DAYS(patients[[#This Row],[DischargeDate]],patients[[#This Row],[AdmissionDate]])</f>
        <v>121</v>
      </c>
      <c r="J18">
        <v>3</v>
      </c>
      <c r="K18" t="str">
        <f>VLOOKUP(patients[[#This Row],[OutcomeID]],outcomes[],2)</f>
        <v>Deceased</v>
      </c>
      <c r="L18">
        <v>7443</v>
      </c>
      <c r="M18" t="str">
        <f>VLOOKUP(patients[[#This Row],[PatientID]],labs[[LabID]:[TestName]],3)</f>
        <v>Blood Sugar</v>
      </c>
      <c r="N18">
        <f>VLOOKUP(patients[[#This Row],[PatientID]],labs[],4)</f>
        <v>208</v>
      </c>
    </row>
    <row r="19" spans="1:14" x14ac:dyDescent="0.3">
      <c r="A19">
        <v>18</v>
      </c>
      <c r="B19" t="s">
        <v>29</v>
      </c>
      <c r="C19">
        <v>53</v>
      </c>
      <c r="D19" t="s">
        <v>15</v>
      </c>
      <c r="E19">
        <v>3</v>
      </c>
      <c r="F19" t="str">
        <f>VLOOKUP(patients[[#This Row],[DiagnosisID]],diagnoses[#All],2)</f>
        <v>Heart Disease</v>
      </c>
      <c r="G19" s="1">
        <v>45821</v>
      </c>
      <c r="H19" s="1">
        <v>45830</v>
      </c>
      <c r="I19" s="2">
        <f>_xlfn.DAYS(patients[[#This Row],[DischargeDate]],patients[[#This Row],[AdmissionDate]])</f>
        <v>9</v>
      </c>
      <c r="J19">
        <v>3</v>
      </c>
      <c r="K19" t="str">
        <f>VLOOKUP(patients[[#This Row],[OutcomeID]],outcomes[],2)</f>
        <v>Deceased</v>
      </c>
      <c r="L19">
        <v>9300</v>
      </c>
      <c r="M19" t="str">
        <f>VLOOKUP(patients[[#This Row],[PatientID]],labs[[LabID]:[TestName]],3)</f>
        <v>Hemoglobin</v>
      </c>
      <c r="N19">
        <f>VLOOKUP(patients[[#This Row],[PatientID]],labs[],4)</f>
        <v>115</v>
      </c>
    </row>
    <row r="20" spans="1:14" x14ac:dyDescent="0.3">
      <c r="A20">
        <v>19</v>
      </c>
      <c r="B20" t="s">
        <v>30</v>
      </c>
      <c r="C20">
        <v>32</v>
      </c>
      <c r="D20" t="s">
        <v>15</v>
      </c>
      <c r="E20">
        <v>6</v>
      </c>
      <c r="F20" t="str">
        <f>VLOOKUP(patients[[#This Row],[DiagnosisID]],diagnoses[#All],2)</f>
        <v>COPD</v>
      </c>
      <c r="G20" s="1">
        <v>45795</v>
      </c>
      <c r="H20" s="1">
        <v>45797</v>
      </c>
      <c r="I20" s="2">
        <f>_xlfn.DAYS(patients[[#This Row],[DischargeDate]],patients[[#This Row],[AdmissionDate]])</f>
        <v>2</v>
      </c>
      <c r="J20">
        <v>1</v>
      </c>
      <c r="K20" t="str">
        <f>VLOOKUP(patients[[#This Row],[OutcomeID]],outcomes[],2)</f>
        <v>Recovered</v>
      </c>
      <c r="L20">
        <v>4935</v>
      </c>
      <c r="M20" t="str">
        <f>VLOOKUP(patients[[#This Row],[PatientID]],labs[[LabID]:[TestName]],3)</f>
        <v>Vitamin D</v>
      </c>
      <c r="N20">
        <f>VLOOKUP(patients[[#This Row],[PatientID]],labs[],4)</f>
        <v>208.5</v>
      </c>
    </row>
    <row r="21" spans="1:14" x14ac:dyDescent="0.3">
      <c r="A21">
        <v>20</v>
      </c>
      <c r="B21" t="s">
        <v>31</v>
      </c>
      <c r="C21">
        <v>51</v>
      </c>
      <c r="D21" t="s">
        <v>11</v>
      </c>
      <c r="E21">
        <v>7</v>
      </c>
      <c r="F21" t="str">
        <f>VLOOKUP(patients[[#This Row],[DiagnosisID]],diagnoses[#All],2)</f>
        <v>Cancer</v>
      </c>
      <c r="G21" s="1">
        <v>45758</v>
      </c>
      <c r="H21" s="1">
        <v>45847</v>
      </c>
      <c r="I21" s="2">
        <f>_xlfn.DAYS(patients[[#This Row],[DischargeDate]],patients[[#This Row],[AdmissionDate]])</f>
        <v>89</v>
      </c>
      <c r="J21">
        <v>3</v>
      </c>
      <c r="K21" t="str">
        <f>VLOOKUP(patients[[#This Row],[OutcomeID]],outcomes[],2)</f>
        <v>Deceased</v>
      </c>
      <c r="L21">
        <v>5876</v>
      </c>
      <c r="M21" t="str">
        <f>VLOOKUP(patients[[#This Row],[PatientID]],labs[[LabID]:[TestName]],3)</f>
        <v>Creatinine</v>
      </c>
      <c r="N21">
        <f>VLOOKUP(patients[[#This Row],[PatientID]],labs[],4)</f>
        <v>185</v>
      </c>
    </row>
    <row r="22" spans="1:14" x14ac:dyDescent="0.3">
      <c r="A22">
        <v>21</v>
      </c>
      <c r="B22" t="s">
        <v>32</v>
      </c>
      <c r="C22">
        <v>82</v>
      </c>
      <c r="D22" t="s">
        <v>15</v>
      </c>
      <c r="E22">
        <v>6</v>
      </c>
      <c r="F22" t="str">
        <f>VLOOKUP(patients[[#This Row],[DiagnosisID]],diagnoses[#All],2)</f>
        <v>COPD</v>
      </c>
      <c r="G22" s="1">
        <v>45809</v>
      </c>
      <c r="H22" s="1">
        <v>45819</v>
      </c>
      <c r="I22" s="2">
        <f>_xlfn.DAYS(patients[[#This Row],[DischargeDate]],patients[[#This Row],[AdmissionDate]])</f>
        <v>10</v>
      </c>
      <c r="J22">
        <v>3</v>
      </c>
      <c r="K22" t="str">
        <f>VLOOKUP(patients[[#This Row],[OutcomeID]],outcomes[],2)</f>
        <v>Deceased</v>
      </c>
      <c r="L22">
        <v>7959</v>
      </c>
      <c r="M22" t="str">
        <f>VLOOKUP(patients[[#This Row],[PatientID]],labs[[LabID]:[TestName]],3)</f>
        <v>Blood Sugar</v>
      </c>
      <c r="N22">
        <f>VLOOKUP(patients[[#This Row],[PatientID]],labs[],4)</f>
        <v>245</v>
      </c>
    </row>
    <row r="23" spans="1:14" x14ac:dyDescent="0.3">
      <c r="A23">
        <v>22</v>
      </c>
      <c r="B23" t="s">
        <v>33</v>
      </c>
      <c r="C23">
        <v>31</v>
      </c>
      <c r="D23" t="s">
        <v>15</v>
      </c>
      <c r="E23">
        <v>6</v>
      </c>
      <c r="F23" t="str">
        <f>VLOOKUP(patients[[#This Row],[DiagnosisID]],diagnoses[#All],2)</f>
        <v>COPD</v>
      </c>
      <c r="G23" s="1">
        <v>45834</v>
      </c>
      <c r="H23" s="1">
        <v>45841</v>
      </c>
      <c r="I23" s="2">
        <f>_xlfn.DAYS(patients[[#This Row],[DischargeDate]],patients[[#This Row],[AdmissionDate]])</f>
        <v>7</v>
      </c>
      <c r="J23">
        <v>3</v>
      </c>
      <c r="K23" t="str">
        <f>VLOOKUP(patients[[#This Row],[OutcomeID]],outcomes[],2)</f>
        <v>Deceased</v>
      </c>
      <c r="L23">
        <v>2126</v>
      </c>
      <c r="M23" t="str">
        <f>VLOOKUP(patients[[#This Row],[PatientID]],labs[[LabID]:[TestName]],3)</f>
        <v>Vitamin D</v>
      </c>
      <c r="N23">
        <f>VLOOKUP(patients[[#This Row],[PatientID]],labs[],4)</f>
        <v>76.7</v>
      </c>
    </row>
    <row r="24" spans="1:14" x14ac:dyDescent="0.3">
      <c r="A24">
        <v>23</v>
      </c>
      <c r="B24" t="s">
        <v>34</v>
      </c>
      <c r="C24">
        <v>53</v>
      </c>
      <c r="D24" t="s">
        <v>11</v>
      </c>
      <c r="E24">
        <v>6</v>
      </c>
      <c r="F24" t="str">
        <f>VLOOKUP(patients[[#This Row],[DiagnosisID]],diagnoses[#All],2)</f>
        <v>COPD</v>
      </c>
      <c r="G24" s="1">
        <v>45756</v>
      </c>
      <c r="H24" s="1">
        <v>45831</v>
      </c>
      <c r="I24" s="2">
        <f>_xlfn.DAYS(patients[[#This Row],[DischargeDate]],patients[[#This Row],[AdmissionDate]])</f>
        <v>75</v>
      </c>
      <c r="J24">
        <v>3</v>
      </c>
      <c r="K24" t="str">
        <f>VLOOKUP(patients[[#This Row],[OutcomeID]],outcomes[],2)</f>
        <v>Deceased</v>
      </c>
      <c r="L24">
        <v>5177</v>
      </c>
      <c r="M24" t="str">
        <f>VLOOKUP(patients[[#This Row],[PatientID]],labs[[LabID]:[TestName]],3)</f>
        <v>Cholesterol</v>
      </c>
      <c r="N24">
        <f>VLOOKUP(patients[[#This Row],[PatientID]],labs[],4)</f>
        <v>240.3</v>
      </c>
    </row>
    <row r="25" spans="1:14" x14ac:dyDescent="0.3">
      <c r="A25">
        <v>24</v>
      </c>
      <c r="B25" t="s">
        <v>35</v>
      </c>
      <c r="C25">
        <v>73</v>
      </c>
      <c r="D25" t="s">
        <v>15</v>
      </c>
      <c r="E25">
        <v>3</v>
      </c>
      <c r="F25" t="str">
        <f>VLOOKUP(patients[[#This Row],[DiagnosisID]],diagnoses[#All],2)</f>
        <v>Heart Disease</v>
      </c>
      <c r="G25" s="1">
        <v>45693</v>
      </c>
      <c r="H25" s="1">
        <v>45749</v>
      </c>
      <c r="I25" s="2">
        <f>_xlfn.DAYS(patients[[#This Row],[DischargeDate]],patients[[#This Row],[AdmissionDate]])</f>
        <v>56</v>
      </c>
      <c r="J25">
        <v>1</v>
      </c>
      <c r="K25" t="str">
        <f>VLOOKUP(patients[[#This Row],[OutcomeID]],outcomes[],2)</f>
        <v>Recovered</v>
      </c>
      <c r="L25">
        <v>5056</v>
      </c>
      <c r="M25" t="str">
        <f>VLOOKUP(patients[[#This Row],[PatientID]],labs[[LabID]:[TestName]],3)</f>
        <v>Blood Sugar</v>
      </c>
      <c r="N25">
        <f>VLOOKUP(patients[[#This Row],[PatientID]],labs[],4)</f>
        <v>185.3</v>
      </c>
    </row>
    <row r="26" spans="1:14" x14ac:dyDescent="0.3">
      <c r="A26">
        <v>25</v>
      </c>
      <c r="B26" t="s">
        <v>36</v>
      </c>
      <c r="C26">
        <v>59</v>
      </c>
      <c r="D26" t="s">
        <v>11</v>
      </c>
      <c r="E26">
        <v>6</v>
      </c>
      <c r="F26" t="str">
        <f>VLOOKUP(patients[[#This Row],[DiagnosisID]],diagnoses[#All],2)</f>
        <v>COPD</v>
      </c>
      <c r="G26" s="1">
        <v>45753</v>
      </c>
      <c r="H26" s="1">
        <v>45811</v>
      </c>
      <c r="I26" s="2">
        <f>_xlfn.DAYS(patients[[#This Row],[DischargeDate]],patients[[#This Row],[AdmissionDate]])</f>
        <v>58</v>
      </c>
      <c r="J26">
        <v>3</v>
      </c>
      <c r="K26" t="str">
        <f>VLOOKUP(patients[[#This Row],[OutcomeID]],outcomes[],2)</f>
        <v>Deceased</v>
      </c>
      <c r="L26">
        <v>2603</v>
      </c>
      <c r="M26" t="str">
        <f>VLOOKUP(patients[[#This Row],[PatientID]],labs[[LabID]:[TestName]],3)</f>
        <v>Vitamin D</v>
      </c>
      <c r="N26">
        <f>VLOOKUP(patients[[#This Row],[PatientID]],labs[],4)</f>
        <v>290.7</v>
      </c>
    </row>
    <row r="27" spans="1:14" x14ac:dyDescent="0.3">
      <c r="A27">
        <v>26</v>
      </c>
      <c r="B27" t="s">
        <v>37</v>
      </c>
      <c r="C27">
        <v>67</v>
      </c>
      <c r="D27" t="s">
        <v>11</v>
      </c>
      <c r="E27">
        <v>8</v>
      </c>
      <c r="F27" t="str">
        <f>VLOOKUP(patients[[#This Row],[DiagnosisID]],diagnoses[#All],2)</f>
        <v>Arthritis</v>
      </c>
      <c r="G27" s="1">
        <v>45809</v>
      </c>
      <c r="H27" s="1">
        <v>45810</v>
      </c>
      <c r="I27" s="2">
        <f>_xlfn.DAYS(patients[[#This Row],[DischargeDate]],patients[[#This Row],[AdmissionDate]])</f>
        <v>1</v>
      </c>
      <c r="J27">
        <v>2</v>
      </c>
      <c r="K27" t="str">
        <f>VLOOKUP(patients[[#This Row],[OutcomeID]],outcomes[],2)</f>
        <v>Complicated</v>
      </c>
      <c r="L27">
        <v>9966</v>
      </c>
      <c r="M27" t="str">
        <f>VLOOKUP(patients[[#This Row],[PatientID]],labs[[LabID]:[TestName]],3)</f>
        <v>Cholesterol</v>
      </c>
      <c r="N27">
        <f>VLOOKUP(patients[[#This Row],[PatientID]],labs[],4)</f>
        <v>135.5</v>
      </c>
    </row>
    <row r="28" spans="1:14" x14ac:dyDescent="0.3">
      <c r="A28">
        <v>27</v>
      </c>
      <c r="B28" t="s">
        <v>38</v>
      </c>
      <c r="C28">
        <v>31</v>
      </c>
      <c r="D28" t="s">
        <v>15</v>
      </c>
      <c r="E28">
        <v>2</v>
      </c>
      <c r="F28" t="str">
        <f>VLOOKUP(patients[[#This Row],[DiagnosisID]],diagnoses[#All],2)</f>
        <v>Diabetes</v>
      </c>
      <c r="G28" s="1">
        <v>45808</v>
      </c>
      <c r="H28" s="1">
        <v>45809</v>
      </c>
      <c r="I28" s="2">
        <f>_xlfn.DAYS(patients[[#This Row],[DischargeDate]],patients[[#This Row],[AdmissionDate]])</f>
        <v>1</v>
      </c>
      <c r="J28">
        <v>2</v>
      </c>
      <c r="K28" t="str">
        <f>VLOOKUP(patients[[#This Row],[OutcomeID]],outcomes[],2)</f>
        <v>Complicated</v>
      </c>
      <c r="L28">
        <v>5449</v>
      </c>
      <c r="M28" t="str">
        <f>VLOOKUP(patients[[#This Row],[PatientID]],labs[[LabID]:[TestName]],3)</f>
        <v>Hemoglobin</v>
      </c>
      <c r="N28">
        <f>VLOOKUP(patients[[#This Row],[PatientID]],labs[],4)</f>
        <v>208.2</v>
      </c>
    </row>
    <row r="29" spans="1:14" x14ac:dyDescent="0.3">
      <c r="A29">
        <v>28</v>
      </c>
      <c r="B29" t="s">
        <v>39</v>
      </c>
      <c r="C29">
        <v>89</v>
      </c>
      <c r="D29" t="s">
        <v>11</v>
      </c>
      <c r="E29">
        <v>5</v>
      </c>
      <c r="F29" t="str">
        <f>VLOOKUP(patients[[#This Row],[DiagnosisID]],diagnoses[#All],2)</f>
        <v>Stroke</v>
      </c>
      <c r="G29" s="1">
        <v>45694</v>
      </c>
      <c r="H29" s="1">
        <v>45776</v>
      </c>
      <c r="I29" s="2">
        <f>_xlfn.DAYS(patients[[#This Row],[DischargeDate]],patients[[#This Row],[AdmissionDate]])</f>
        <v>82</v>
      </c>
      <c r="J29">
        <v>3</v>
      </c>
      <c r="K29" t="str">
        <f>VLOOKUP(patients[[#This Row],[OutcomeID]],outcomes[],2)</f>
        <v>Deceased</v>
      </c>
      <c r="L29">
        <v>8024</v>
      </c>
      <c r="M29" t="str">
        <f>VLOOKUP(patients[[#This Row],[PatientID]],labs[[LabID]:[TestName]],3)</f>
        <v>Creatinine</v>
      </c>
      <c r="N29">
        <f>VLOOKUP(patients[[#This Row],[PatientID]],labs[],4)</f>
        <v>283</v>
      </c>
    </row>
    <row r="30" spans="1:14" x14ac:dyDescent="0.3">
      <c r="A30">
        <v>29</v>
      </c>
      <c r="B30" t="s">
        <v>40</v>
      </c>
      <c r="C30">
        <v>50</v>
      </c>
      <c r="D30" t="s">
        <v>11</v>
      </c>
      <c r="E30">
        <v>1</v>
      </c>
      <c r="F30" t="str">
        <f>VLOOKUP(patients[[#This Row],[DiagnosisID]],diagnoses[#All],2)</f>
        <v>Hypertension</v>
      </c>
      <c r="G30" s="1">
        <v>45669</v>
      </c>
      <c r="H30" s="1">
        <v>45671</v>
      </c>
      <c r="I30" s="2">
        <f>_xlfn.DAYS(patients[[#This Row],[DischargeDate]],patients[[#This Row],[AdmissionDate]])</f>
        <v>2</v>
      </c>
      <c r="J30">
        <v>3</v>
      </c>
      <c r="K30" t="str">
        <f>VLOOKUP(patients[[#This Row],[OutcomeID]],outcomes[],2)</f>
        <v>Deceased</v>
      </c>
      <c r="L30">
        <v>7109</v>
      </c>
      <c r="M30" t="str">
        <f>VLOOKUP(patients[[#This Row],[PatientID]],labs[[LabID]:[TestName]],3)</f>
        <v>Cholesterol</v>
      </c>
      <c r="N30">
        <f>VLOOKUP(patients[[#This Row],[PatientID]],labs[],4)</f>
        <v>75.599999999999994</v>
      </c>
    </row>
    <row r="31" spans="1:14" x14ac:dyDescent="0.3">
      <c r="A31">
        <v>30</v>
      </c>
      <c r="B31" t="s">
        <v>41</v>
      </c>
      <c r="C31">
        <v>62</v>
      </c>
      <c r="D31" t="s">
        <v>11</v>
      </c>
      <c r="E31">
        <v>1</v>
      </c>
      <c r="F31" t="str">
        <f>VLOOKUP(patients[[#This Row],[DiagnosisID]],diagnoses[#All],2)</f>
        <v>Hypertension</v>
      </c>
      <c r="G31" s="1">
        <v>45770</v>
      </c>
      <c r="H31" s="1">
        <v>45774</v>
      </c>
      <c r="I31" s="2">
        <f>_xlfn.DAYS(patients[[#This Row],[DischargeDate]],patients[[#This Row],[AdmissionDate]])</f>
        <v>4</v>
      </c>
      <c r="J31">
        <v>2</v>
      </c>
      <c r="K31" t="str">
        <f>VLOOKUP(patients[[#This Row],[OutcomeID]],outcomes[],2)</f>
        <v>Complicated</v>
      </c>
      <c r="L31">
        <v>6146</v>
      </c>
      <c r="M31" t="str">
        <f>VLOOKUP(patients[[#This Row],[PatientID]],labs[[LabID]:[TestName]],3)</f>
        <v>Blood Pressure</v>
      </c>
      <c r="N31">
        <f>VLOOKUP(patients[[#This Row],[PatientID]],labs[],4)</f>
        <v>284.3</v>
      </c>
    </row>
    <row r="32" spans="1:14" x14ac:dyDescent="0.3">
      <c r="A32">
        <v>31</v>
      </c>
      <c r="B32" t="s">
        <v>42</v>
      </c>
      <c r="C32">
        <v>41</v>
      </c>
      <c r="D32" t="s">
        <v>11</v>
      </c>
      <c r="E32">
        <v>5</v>
      </c>
      <c r="F32" t="str">
        <f>VLOOKUP(patients[[#This Row],[DiagnosisID]],diagnoses[#All],2)</f>
        <v>Stroke</v>
      </c>
      <c r="G32" s="1">
        <v>45670</v>
      </c>
      <c r="H32" s="1">
        <v>45839</v>
      </c>
      <c r="I32" s="2">
        <f>_xlfn.DAYS(patients[[#This Row],[DischargeDate]],patients[[#This Row],[AdmissionDate]])</f>
        <v>169</v>
      </c>
      <c r="J32">
        <v>2</v>
      </c>
      <c r="K32" t="str">
        <f>VLOOKUP(patients[[#This Row],[OutcomeID]],outcomes[],2)</f>
        <v>Complicated</v>
      </c>
      <c r="L32">
        <v>9196</v>
      </c>
      <c r="M32" t="str">
        <f>VLOOKUP(patients[[#This Row],[PatientID]],labs[[LabID]:[TestName]],3)</f>
        <v>Cholesterol</v>
      </c>
      <c r="N32">
        <f>VLOOKUP(patients[[#This Row],[PatientID]],labs[],4)</f>
        <v>222</v>
      </c>
    </row>
    <row r="33" spans="1:14" x14ac:dyDescent="0.3">
      <c r="A33">
        <v>32</v>
      </c>
      <c r="B33" t="s">
        <v>43</v>
      </c>
      <c r="C33">
        <v>87</v>
      </c>
      <c r="D33" t="s">
        <v>15</v>
      </c>
      <c r="E33">
        <v>3</v>
      </c>
      <c r="F33" t="str">
        <f>VLOOKUP(patients[[#This Row],[DiagnosisID]],diagnoses[#All],2)</f>
        <v>Heart Disease</v>
      </c>
      <c r="G33" s="1">
        <v>45680</v>
      </c>
      <c r="H33" s="1">
        <v>45684</v>
      </c>
      <c r="I33" s="2">
        <f>_xlfn.DAYS(patients[[#This Row],[DischargeDate]],patients[[#This Row],[AdmissionDate]])</f>
        <v>4</v>
      </c>
      <c r="J33">
        <v>1</v>
      </c>
      <c r="K33" t="str">
        <f>VLOOKUP(patients[[#This Row],[OutcomeID]],outcomes[],2)</f>
        <v>Recovered</v>
      </c>
      <c r="L33">
        <v>5533</v>
      </c>
      <c r="M33" t="str">
        <f>VLOOKUP(patients[[#This Row],[PatientID]],labs[[LabID]:[TestName]],3)</f>
        <v>Cholesterol</v>
      </c>
      <c r="N33">
        <f>VLOOKUP(patients[[#This Row],[PatientID]],labs[],4)</f>
        <v>67</v>
      </c>
    </row>
    <row r="34" spans="1:14" x14ac:dyDescent="0.3">
      <c r="A34">
        <v>33</v>
      </c>
      <c r="B34" t="s">
        <v>44</v>
      </c>
      <c r="C34">
        <v>51</v>
      </c>
      <c r="D34" t="s">
        <v>11</v>
      </c>
      <c r="E34">
        <v>4</v>
      </c>
      <c r="F34" t="str">
        <f>VLOOKUP(patients[[#This Row],[DiagnosisID]],diagnoses[#All],2)</f>
        <v>Asthma</v>
      </c>
      <c r="G34" s="1">
        <v>45756</v>
      </c>
      <c r="H34" s="1">
        <v>45779</v>
      </c>
      <c r="I34" s="2">
        <f>_xlfn.DAYS(patients[[#This Row],[DischargeDate]],patients[[#This Row],[AdmissionDate]])</f>
        <v>23</v>
      </c>
      <c r="J34">
        <v>2</v>
      </c>
      <c r="K34" t="str">
        <f>VLOOKUP(patients[[#This Row],[OutcomeID]],outcomes[],2)</f>
        <v>Complicated</v>
      </c>
      <c r="L34">
        <v>5367</v>
      </c>
      <c r="M34" t="str">
        <f>VLOOKUP(patients[[#This Row],[PatientID]],labs[[LabID]:[TestName]],3)</f>
        <v>Creatinine</v>
      </c>
      <c r="N34">
        <f>VLOOKUP(patients[[#This Row],[PatientID]],labs[],4)</f>
        <v>125.2</v>
      </c>
    </row>
    <row r="35" spans="1:14" x14ac:dyDescent="0.3">
      <c r="A35">
        <v>34</v>
      </c>
      <c r="B35" t="s">
        <v>45</v>
      </c>
      <c r="C35">
        <v>73</v>
      </c>
      <c r="D35" t="s">
        <v>15</v>
      </c>
      <c r="E35">
        <v>3</v>
      </c>
      <c r="F35" t="str">
        <f>VLOOKUP(patients[[#This Row],[DiagnosisID]],diagnoses[#All],2)</f>
        <v>Heart Disease</v>
      </c>
      <c r="G35" s="1">
        <v>45762</v>
      </c>
      <c r="H35" s="1">
        <v>45771</v>
      </c>
      <c r="I35" s="2">
        <f>_xlfn.DAYS(patients[[#This Row],[DischargeDate]],patients[[#This Row],[AdmissionDate]])</f>
        <v>9</v>
      </c>
      <c r="J35">
        <v>2</v>
      </c>
      <c r="K35" t="str">
        <f>VLOOKUP(patients[[#This Row],[OutcomeID]],outcomes[],2)</f>
        <v>Complicated</v>
      </c>
      <c r="L35">
        <v>5368</v>
      </c>
      <c r="M35" t="str">
        <f>VLOOKUP(patients[[#This Row],[PatientID]],labs[[LabID]:[TestName]],3)</f>
        <v>Blood Pressure</v>
      </c>
      <c r="N35">
        <f>VLOOKUP(patients[[#This Row],[PatientID]],labs[],4)</f>
        <v>227</v>
      </c>
    </row>
    <row r="36" spans="1:14" x14ac:dyDescent="0.3">
      <c r="A36">
        <v>35</v>
      </c>
      <c r="B36" t="s">
        <v>46</v>
      </c>
      <c r="C36">
        <v>54</v>
      </c>
      <c r="D36" t="s">
        <v>11</v>
      </c>
      <c r="E36">
        <v>1</v>
      </c>
      <c r="F36" t="str">
        <f>VLOOKUP(patients[[#This Row],[DiagnosisID]],diagnoses[#All],2)</f>
        <v>Hypertension</v>
      </c>
      <c r="G36" s="1">
        <v>45687</v>
      </c>
      <c r="H36" s="1">
        <v>45700</v>
      </c>
      <c r="I36" s="2">
        <f>_xlfn.DAYS(patients[[#This Row],[DischargeDate]],patients[[#This Row],[AdmissionDate]])</f>
        <v>13</v>
      </c>
      <c r="J36">
        <v>3</v>
      </c>
      <c r="K36" t="str">
        <f>VLOOKUP(patients[[#This Row],[OutcomeID]],outcomes[],2)</f>
        <v>Deceased</v>
      </c>
      <c r="L36">
        <v>5797</v>
      </c>
      <c r="M36" t="str">
        <f>VLOOKUP(patients[[#This Row],[PatientID]],labs[[LabID]:[TestName]],3)</f>
        <v>Vitamin D</v>
      </c>
      <c r="N36">
        <f>VLOOKUP(patients[[#This Row],[PatientID]],labs[],4)</f>
        <v>66.8</v>
      </c>
    </row>
    <row r="37" spans="1:14" x14ac:dyDescent="0.3">
      <c r="A37">
        <v>36</v>
      </c>
      <c r="B37" t="s">
        <v>47</v>
      </c>
      <c r="C37">
        <v>78</v>
      </c>
      <c r="D37" t="s">
        <v>11</v>
      </c>
      <c r="E37">
        <v>1</v>
      </c>
      <c r="F37" t="str">
        <f>VLOOKUP(patients[[#This Row],[DiagnosisID]],diagnoses[#All],2)</f>
        <v>Hypertension</v>
      </c>
      <c r="G37" s="1">
        <v>45674</v>
      </c>
      <c r="H37" s="1">
        <v>45758</v>
      </c>
      <c r="I37" s="2">
        <f>_xlfn.DAYS(patients[[#This Row],[DischargeDate]],patients[[#This Row],[AdmissionDate]])</f>
        <v>84</v>
      </c>
      <c r="J37">
        <v>2</v>
      </c>
      <c r="K37" t="str">
        <f>VLOOKUP(patients[[#This Row],[OutcomeID]],outcomes[],2)</f>
        <v>Complicated</v>
      </c>
      <c r="L37">
        <v>8922</v>
      </c>
      <c r="M37" t="str">
        <f>VLOOKUP(patients[[#This Row],[PatientID]],labs[[LabID]:[TestName]],3)</f>
        <v>Vitamin D</v>
      </c>
      <c r="N37">
        <f>VLOOKUP(patients[[#This Row],[PatientID]],labs[],4)</f>
        <v>195.5</v>
      </c>
    </row>
    <row r="38" spans="1:14" x14ac:dyDescent="0.3">
      <c r="A38">
        <v>37</v>
      </c>
      <c r="B38" t="s">
        <v>48</v>
      </c>
      <c r="C38">
        <v>56</v>
      </c>
      <c r="D38" t="s">
        <v>11</v>
      </c>
      <c r="E38">
        <v>5</v>
      </c>
      <c r="F38" t="str">
        <f>VLOOKUP(patients[[#This Row],[DiagnosisID]],diagnoses[#All],2)</f>
        <v>Stroke</v>
      </c>
      <c r="G38" s="1">
        <v>45770</v>
      </c>
      <c r="H38" s="1">
        <v>45780</v>
      </c>
      <c r="I38" s="2">
        <f>_xlfn.DAYS(patients[[#This Row],[DischargeDate]],patients[[#This Row],[AdmissionDate]])</f>
        <v>10</v>
      </c>
      <c r="J38">
        <v>1</v>
      </c>
      <c r="K38" t="str">
        <f>VLOOKUP(patients[[#This Row],[OutcomeID]],outcomes[],2)</f>
        <v>Recovered</v>
      </c>
      <c r="L38">
        <v>7526</v>
      </c>
      <c r="M38" t="str">
        <f>VLOOKUP(patients[[#This Row],[PatientID]],labs[[LabID]:[TestName]],3)</f>
        <v>Cholesterol</v>
      </c>
      <c r="N38">
        <f>VLOOKUP(patients[[#This Row],[PatientID]],labs[],4)</f>
        <v>136.5</v>
      </c>
    </row>
    <row r="39" spans="1:14" x14ac:dyDescent="0.3">
      <c r="A39">
        <v>38</v>
      </c>
      <c r="B39" t="s">
        <v>49</v>
      </c>
      <c r="C39">
        <v>88</v>
      </c>
      <c r="D39" t="s">
        <v>11</v>
      </c>
      <c r="E39">
        <v>6</v>
      </c>
      <c r="F39" t="str">
        <f>VLOOKUP(patients[[#This Row],[DiagnosisID]],diagnoses[#All],2)</f>
        <v>COPD</v>
      </c>
      <c r="G39" s="1">
        <v>45719</v>
      </c>
      <c r="H39" s="1">
        <v>45738</v>
      </c>
      <c r="I39" s="2">
        <f>_xlfn.DAYS(patients[[#This Row],[DischargeDate]],patients[[#This Row],[AdmissionDate]])</f>
        <v>19</v>
      </c>
      <c r="J39">
        <v>2</v>
      </c>
      <c r="K39" t="str">
        <f>VLOOKUP(patients[[#This Row],[OutcomeID]],outcomes[],2)</f>
        <v>Complicated</v>
      </c>
      <c r="L39">
        <v>3792</v>
      </c>
      <c r="M39" t="str">
        <f>VLOOKUP(patients[[#This Row],[PatientID]],labs[[LabID]:[TestName]],3)</f>
        <v>Blood Pressure</v>
      </c>
      <c r="N39">
        <f>VLOOKUP(patients[[#This Row],[PatientID]],labs[],4)</f>
        <v>205.2</v>
      </c>
    </row>
    <row r="40" spans="1:14" x14ac:dyDescent="0.3">
      <c r="A40">
        <v>39</v>
      </c>
      <c r="B40" t="s">
        <v>50</v>
      </c>
      <c r="C40">
        <v>71</v>
      </c>
      <c r="D40" t="s">
        <v>15</v>
      </c>
      <c r="E40">
        <v>3</v>
      </c>
      <c r="F40" t="str">
        <f>VLOOKUP(patients[[#This Row],[DiagnosisID]],diagnoses[#All],2)</f>
        <v>Heart Disease</v>
      </c>
      <c r="G40" s="1">
        <v>45741</v>
      </c>
      <c r="H40" s="1">
        <v>45742</v>
      </c>
      <c r="I40" s="2">
        <f>_xlfn.DAYS(patients[[#This Row],[DischargeDate]],patients[[#This Row],[AdmissionDate]])</f>
        <v>1</v>
      </c>
      <c r="J40">
        <v>3</v>
      </c>
      <c r="K40" t="str">
        <f>VLOOKUP(patients[[#This Row],[OutcomeID]],outcomes[],2)</f>
        <v>Deceased</v>
      </c>
      <c r="L40">
        <v>4861</v>
      </c>
      <c r="M40" t="str">
        <f>VLOOKUP(patients[[#This Row],[PatientID]],labs[[LabID]:[TestName]],3)</f>
        <v>Blood Pressure</v>
      </c>
      <c r="N40">
        <f>VLOOKUP(patients[[#This Row],[PatientID]],labs[],4)</f>
        <v>61.4</v>
      </c>
    </row>
    <row r="41" spans="1:14" x14ac:dyDescent="0.3">
      <c r="A41">
        <v>40</v>
      </c>
      <c r="B41" t="s">
        <v>51</v>
      </c>
      <c r="C41">
        <v>57</v>
      </c>
      <c r="D41" t="s">
        <v>15</v>
      </c>
      <c r="E41">
        <v>9</v>
      </c>
      <c r="F41" t="str">
        <f>VLOOKUP(patients[[#This Row],[DiagnosisID]],diagnoses[#All],2)</f>
        <v>Kidney Disease</v>
      </c>
      <c r="G41" s="1">
        <v>45769</v>
      </c>
      <c r="H41" s="1">
        <v>45820</v>
      </c>
      <c r="I41" s="2">
        <f>_xlfn.DAYS(patients[[#This Row],[DischargeDate]],patients[[#This Row],[AdmissionDate]])</f>
        <v>51</v>
      </c>
      <c r="J41">
        <v>3</v>
      </c>
      <c r="K41" t="str">
        <f>VLOOKUP(patients[[#This Row],[OutcomeID]],outcomes[],2)</f>
        <v>Deceased</v>
      </c>
      <c r="L41">
        <v>7732</v>
      </c>
      <c r="M41" t="str">
        <f>VLOOKUP(patients[[#This Row],[PatientID]],labs[[LabID]:[TestName]],3)</f>
        <v>Creatinine</v>
      </c>
      <c r="N41">
        <f>VLOOKUP(patients[[#This Row],[PatientID]],labs[],4)</f>
        <v>267.89999999999998</v>
      </c>
    </row>
    <row r="42" spans="1:14" x14ac:dyDescent="0.3">
      <c r="A42">
        <v>41</v>
      </c>
      <c r="B42" t="s">
        <v>52</v>
      </c>
      <c r="C42">
        <v>89</v>
      </c>
      <c r="D42" t="s">
        <v>11</v>
      </c>
      <c r="E42">
        <v>5</v>
      </c>
      <c r="F42" t="str">
        <f>VLOOKUP(patients[[#This Row],[DiagnosisID]],diagnoses[#All],2)</f>
        <v>Stroke</v>
      </c>
      <c r="G42" s="1">
        <v>45743</v>
      </c>
      <c r="H42" s="1">
        <v>45828</v>
      </c>
      <c r="I42" s="2">
        <f>_xlfn.DAYS(patients[[#This Row],[DischargeDate]],patients[[#This Row],[AdmissionDate]])</f>
        <v>85</v>
      </c>
      <c r="J42">
        <v>2</v>
      </c>
      <c r="K42" t="str">
        <f>VLOOKUP(patients[[#This Row],[OutcomeID]],outcomes[],2)</f>
        <v>Complicated</v>
      </c>
      <c r="L42">
        <v>5476</v>
      </c>
      <c r="M42" t="str">
        <f>VLOOKUP(patients[[#This Row],[PatientID]],labs[[LabID]:[TestName]],3)</f>
        <v>Hemoglobin</v>
      </c>
      <c r="N42">
        <f>VLOOKUP(patients[[#This Row],[PatientID]],labs[],4)</f>
        <v>293.39999999999998</v>
      </c>
    </row>
    <row r="43" spans="1:14" x14ac:dyDescent="0.3">
      <c r="A43">
        <v>42</v>
      </c>
      <c r="B43" t="s">
        <v>53</v>
      </c>
      <c r="C43">
        <v>45</v>
      </c>
      <c r="D43" t="s">
        <v>11</v>
      </c>
      <c r="E43">
        <v>8</v>
      </c>
      <c r="F43" t="str">
        <f>VLOOKUP(patients[[#This Row],[DiagnosisID]],diagnoses[#All],2)</f>
        <v>Arthritis</v>
      </c>
      <c r="G43" s="1">
        <v>45798</v>
      </c>
      <c r="H43" s="1">
        <v>45848</v>
      </c>
      <c r="I43" s="2">
        <f>_xlfn.DAYS(patients[[#This Row],[DischargeDate]],patients[[#This Row],[AdmissionDate]])</f>
        <v>50</v>
      </c>
      <c r="J43">
        <v>3</v>
      </c>
      <c r="K43" t="str">
        <f>VLOOKUP(patients[[#This Row],[OutcomeID]],outcomes[],2)</f>
        <v>Deceased</v>
      </c>
      <c r="L43">
        <v>5417</v>
      </c>
      <c r="M43" t="str">
        <f>VLOOKUP(patients[[#This Row],[PatientID]],labs[[LabID]:[TestName]],3)</f>
        <v>Vitamin D</v>
      </c>
      <c r="N43">
        <f>VLOOKUP(patients[[#This Row],[PatientID]],labs[],4)</f>
        <v>292.2</v>
      </c>
    </row>
    <row r="44" spans="1:14" x14ac:dyDescent="0.3">
      <c r="A44">
        <v>43</v>
      </c>
      <c r="B44" t="s">
        <v>54</v>
      </c>
      <c r="C44">
        <v>44</v>
      </c>
      <c r="D44" t="s">
        <v>15</v>
      </c>
      <c r="E44">
        <v>1</v>
      </c>
      <c r="F44" t="str">
        <f>VLOOKUP(patients[[#This Row],[DiagnosisID]],diagnoses[#All],2)</f>
        <v>Hypertension</v>
      </c>
      <c r="G44" s="1">
        <v>45676</v>
      </c>
      <c r="H44" s="1">
        <v>45784</v>
      </c>
      <c r="I44" s="2">
        <f>_xlfn.DAYS(patients[[#This Row],[DischargeDate]],patients[[#This Row],[AdmissionDate]])</f>
        <v>108</v>
      </c>
      <c r="J44">
        <v>1</v>
      </c>
      <c r="K44" t="str">
        <f>VLOOKUP(patients[[#This Row],[OutcomeID]],outcomes[],2)</f>
        <v>Recovered</v>
      </c>
      <c r="L44">
        <v>3645</v>
      </c>
      <c r="M44" t="str">
        <f>VLOOKUP(patients[[#This Row],[PatientID]],labs[[LabID]:[TestName]],3)</f>
        <v>Creatinine</v>
      </c>
      <c r="N44">
        <f>VLOOKUP(patients[[#This Row],[PatientID]],labs[],4)</f>
        <v>237.4</v>
      </c>
    </row>
    <row r="45" spans="1:14" x14ac:dyDescent="0.3">
      <c r="A45">
        <v>44</v>
      </c>
      <c r="B45" t="s">
        <v>55</v>
      </c>
      <c r="C45">
        <v>76</v>
      </c>
      <c r="D45" t="s">
        <v>11</v>
      </c>
      <c r="E45">
        <v>5</v>
      </c>
      <c r="F45" t="str">
        <f>VLOOKUP(patients[[#This Row],[DiagnosisID]],diagnoses[#All],2)</f>
        <v>Stroke</v>
      </c>
      <c r="G45" s="1">
        <v>45834</v>
      </c>
      <c r="H45" s="1">
        <v>45843</v>
      </c>
      <c r="I45" s="2">
        <f>_xlfn.DAYS(patients[[#This Row],[DischargeDate]],patients[[#This Row],[AdmissionDate]])</f>
        <v>9</v>
      </c>
      <c r="J45">
        <v>1</v>
      </c>
      <c r="K45" t="str">
        <f>VLOOKUP(patients[[#This Row],[OutcomeID]],outcomes[],2)</f>
        <v>Recovered</v>
      </c>
      <c r="L45">
        <v>8563</v>
      </c>
      <c r="M45" t="str">
        <f>VLOOKUP(patients[[#This Row],[PatientID]],labs[[LabID]:[TestName]],3)</f>
        <v>Blood Sugar</v>
      </c>
      <c r="N45">
        <f>VLOOKUP(patients[[#This Row],[PatientID]],labs[],4)</f>
        <v>82.5</v>
      </c>
    </row>
    <row r="46" spans="1:14" x14ac:dyDescent="0.3">
      <c r="A46">
        <v>45</v>
      </c>
      <c r="B46" t="s">
        <v>56</v>
      </c>
      <c r="C46">
        <v>80</v>
      </c>
      <c r="D46" t="s">
        <v>11</v>
      </c>
      <c r="E46">
        <v>3</v>
      </c>
      <c r="F46" t="str">
        <f>VLOOKUP(patients[[#This Row],[DiagnosisID]],diagnoses[#All],2)</f>
        <v>Heart Disease</v>
      </c>
      <c r="G46" s="1">
        <v>45757</v>
      </c>
      <c r="H46" s="1">
        <v>45789</v>
      </c>
      <c r="I46" s="2">
        <f>_xlfn.DAYS(patients[[#This Row],[DischargeDate]],patients[[#This Row],[AdmissionDate]])</f>
        <v>32</v>
      </c>
      <c r="J46">
        <v>2</v>
      </c>
      <c r="K46" t="str">
        <f>VLOOKUP(patients[[#This Row],[OutcomeID]],outcomes[],2)</f>
        <v>Complicated</v>
      </c>
      <c r="L46">
        <v>3205</v>
      </c>
      <c r="M46" t="str">
        <f>VLOOKUP(patients[[#This Row],[PatientID]],labs[[LabID]:[TestName]],3)</f>
        <v>Vitamin D</v>
      </c>
      <c r="N46">
        <f>VLOOKUP(patients[[#This Row],[PatientID]],labs[],4)</f>
        <v>239.6</v>
      </c>
    </row>
    <row r="47" spans="1:14" x14ac:dyDescent="0.3">
      <c r="A47">
        <v>46</v>
      </c>
      <c r="B47" t="s">
        <v>57</v>
      </c>
      <c r="C47">
        <v>73</v>
      </c>
      <c r="D47" t="s">
        <v>11</v>
      </c>
      <c r="E47">
        <v>1</v>
      </c>
      <c r="F47" t="str">
        <f>VLOOKUP(patients[[#This Row],[DiagnosisID]],diagnoses[#All],2)</f>
        <v>Hypertension</v>
      </c>
      <c r="G47" s="1">
        <v>45797</v>
      </c>
      <c r="H47" s="1">
        <v>45801</v>
      </c>
      <c r="I47" s="2">
        <f>_xlfn.DAYS(patients[[#This Row],[DischargeDate]],patients[[#This Row],[AdmissionDate]])</f>
        <v>4</v>
      </c>
      <c r="J47">
        <v>2</v>
      </c>
      <c r="K47" t="str">
        <f>VLOOKUP(patients[[#This Row],[OutcomeID]],outcomes[],2)</f>
        <v>Complicated</v>
      </c>
      <c r="L47">
        <v>5030</v>
      </c>
      <c r="M47" t="str">
        <f>VLOOKUP(patients[[#This Row],[PatientID]],labs[[LabID]:[TestName]],3)</f>
        <v>Creatinine</v>
      </c>
      <c r="N47">
        <f>VLOOKUP(patients[[#This Row],[PatientID]],labs[],4)</f>
        <v>56.1</v>
      </c>
    </row>
    <row r="48" spans="1:14" x14ac:dyDescent="0.3">
      <c r="A48">
        <v>47</v>
      </c>
      <c r="B48" t="s">
        <v>58</v>
      </c>
      <c r="C48">
        <v>84</v>
      </c>
      <c r="D48" t="s">
        <v>15</v>
      </c>
      <c r="E48">
        <v>4</v>
      </c>
      <c r="F48" t="str">
        <f>VLOOKUP(patients[[#This Row],[DiagnosisID]],diagnoses[#All],2)</f>
        <v>Asthma</v>
      </c>
      <c r="G48" s="1">
        <v>45804</v>
      </c>
      <c r="H48" s="1">
        <v>45813</v>
      </c>
      <c r="I48" s="2">
        <f>_xlfn.DAYS(patients[[#This Row],[DischargeDate]],patients[[#This Row],[AdmissionDate]])</f>
        <v>9</v>
      </c>
      <c r="J48">
        <v>2</v>
      </c>
      <c r="K48" t="str">
        <f>VLOOKUP(patients[[#This Row],[OutcomeID]],outcomes[],2)</f>
        <v>Complicated</v>
      </c>
      <c r="L48">
        <v>4872</v>
      </c>
      <c r="M48" t="str">
        <f>VLOOKUP(patients[[#This Row],[PatientID]],labs[[LabID]:[TestName]],3)</f>
        <v>Vitamin D</v>
      </c>
      <c r="N48">
        <f>VLOOKUP(patients[[#This Row],[PatientID]],labs[],4)</f>
        <v>55.5</v>
      </c>
    </row>
    <row r="49" spans="1:14" x14ac:dyDescent="0.3">
      <c r="A49">
        <v>48</v>
      </c>
      <c r="B49" t="s">
        <v>59</v>
      </c>
      <c r="C49">
        <v>81</v>
      </c>
      <c r="D49" t="s">
        <v>15</v>
      </c>
      <c r="E49">
        <v>5</v>
      </c>
      <c r="F49" t="str">
        <f>VLOOKUP(patients[[#This Row],[DiagnosisID]],diagnoses[#All],2)</f>
        <v>Stroke</v>
      </c>
      <c r="G49" s="1">
        <v>45733</v>
      </c>
      <c r="H49" s="1">
        <v>45740</v>
      </c>
      <c r="I49" s="2">
        <f>_xlfn.DAYS(patients[[#This Row],[DischargeDate]],patients[[#This Row],[AdmissionDate]])</f>
        <v>7</v>
      </c>
      <c r="J49">
        <v>3</v>
      </c>
      <c r="K49" t="str">
        <f>VLOOKUP(patients[[#This Row],[OutcomeID]],outcomes[],2)</f>
        <v>Deceased</v>
      </c>
      <c r="L49">
        <v>5072</v>
      </c>
      <c r="M49" t="str">
        <f>VLOOKUP(patients[[#This Row],[PatientID]],labs[[LabID]:[TestName]],3)</f>
        <v>Hemoglobin</v>
      </c>
      <c r="N49">
        <f>VLOOKUP(patients[[#This Row],[PatientID]],labs[],4)</f>
        <v>130.9</v>
      </c>
    </row>
    <row r="50" spans="1:14" x14ac:dyDescent="0.3">
      <c r="A50">
        <v>49</v>
      </c>
      <c r="B50" t="s">
        <v>60</v>
      </c>
      <c r="C50">
        <v>86</v>
      </c>
      <c r="D50" t="s">
        <v>15</v>
      </c>
      <c r="E50">
        <v>7</v>
      </c>
      <c r="F50" t="str">
        <f>VLOOKUP(patients[[#This Row],[DiagnosisID]],diagnoses[#All],2)</f>
        <v>Cancer</v>
      </c>
      <c r="G50" s="1">
        <v>45666</v>
      </c>
      <c r="H50" s="1">
        <v>45799</v>
      </c>
      <c r="I50" s="2">
        <f>_xlfn.DAYS(patients[[#This Row],[DischargeDate]],patients[[#This Row],[AdmissionDate]])</f>
        <v>133</v>
      </c>
      <c r="J50">
        <v>1</v>
      </c>
      <c r="K50" t="str">
        <f>VLOOKUP(patients[[#This Row],[OutcomeID]],outcomes[],2)</f>
        <v>Recovered</v>
      </c>
      <c r="L50">
        <v>3854</v>
      </c>
      <c r="M50" t="str">
        <f>VLOOKUP(patients[[#This Row],[PatientID]],labs[[LabID]:[TestName]],3)</f>
        <v>Blood Sugar</v>
      </c>
      <c r="N50">
        <f>VLOOKUP(patients[[#This Row],[PatientID]],labs[],4)</f>
        <v>172.2</v>
      </c>
    </row>
    <row r="51" spans="1:14" x14ac:dyDescent="0.3">
      <c r="A51">
        <v>50</v>
      </c>
      <c r="B51" t="s">
        <v>61</v>
      </c>
      <c r="C51">
        <v>32</v>
      </c>
      <c r="D51" t="s">
        <v>11</v>
      </c>
      <c r="E51">
        <v>1</v>
      </c>
      <c r="F51" t="str">
        <f>VLOOKUP(patients[[#This Row],[DiagnosisID]],diagnoses[#All],2)</f>
        <v>Hypertension</v>
      </c>
      <c r="G51" s="1">
        <v>45685</v>
      </c>
      <c r="H51" s="1">
        <v>45723</v>
      </c>
      <c r="I51" s="2">
        <f>_xlfn.DAYS(patients[[#This Row],[DischargeDate]],patients[[#This Row],[AdmissionDate]])</f>
        <v>38</v>
      </c>
      <c r="J51">
        <v>1</v>
      </c>
      <c r="K51" t="str">
        <f>VLOOKUP(patients[[#This Row],[OutcomeID]],outcomes[],2)</f>
        <v>Recovered</v>
      </c>
      <c r="L51">
        <v>6021</v>
      </c>
      <c r="M51" t="str">
        <f>VLOOKUP(patients[[#This Row],[PatientID]],labs[[LabID]:[TestName]],3)</f>
        <v>Hemoglobin</v>
      </c>
      <c r="N51">
        <f>VLOOKUP(patients[[#This Row],[PatientID]],labs[],4)</f>
        <v>242.6</v>
      </c>
    </row>
    <row r="52" spans="1:14" x14ac:dyDescent="0.3">
      <c r="A52">
        <v>51</v>
      </c>
      <c r="B52" t="s">
        <v>62</v>
      </c>
      <c r="C52">
        <v>66</v>
      </c>
      <c r="D52" t="s">
        <v>11</v>
      </c>
      <c r="E52">
        <v>3</v>
      </c>
      <c r="F52" t="str">
        <f>VLOOKUP(patients[[#This Row],[DiagnosisID]],diagnoses[#All],2)</f>
        <v>Heart Disease</v>
      </c>
      <c r="G52" s="1">
        <v>45785</v>
      </c>
      <c r="H52" s="1">
        <v>45811</v>
      </c>
      <c r="I52" s="2">
        <f>_xlfn.DAYS(patients[[#This Row],[DischargeDate]],patients[[#This Row],[AdmissionDate]])</f>
        <v>26</v>
      </c>
      <c r="J52">
        <v>3</v>
      </c>
      <c r="K52" t="str">
        <f>VLOOKUP(patients[[#This Row],[OutcomeID]],outcomes[],2)</f>
        <v>Deceased</v>
      </c>
      <c r="L52">
        <v>6662</v>
      </c>
      <c r="M52" t="str">
        <f>VLOOKUP(patients[[#This Row],[PatientID]],labs[[LabID]:[TestName]],3)</f>
        <v>Blood Sugar</v>
      </c>
      <c r="N52">
        <f>VLOOKUP(patients[[#This Row],[PatientID]],labs[],4)</f>
        <v>220.8</v>
      </c>
    </row>
    <row r="53" spans="1:14" x14ac:dyDescent="0.3">
      <c r="A53">
        <v>52</v>
      </c>
      <c r="B53" t="s">
        <v>63</v>
      </c>
      <c r="C53">
        <v>80</v>
      </c>
      <c r="D53" t="s">
        <v>15</v>
      </c>
      <c r="E53">
        <v>2</v>
      </c>
      <c r="F53" t="str">
        <f>VLOOKUP(patients[[#This Row],[DiagnosisID]],diagnoses[#All],2)</f>
        <v>Diabetes</v>
      </c>
      <c r="G53" s="1">
        <v>45709</v>
      </c>
      <c r="H53" s="1">
        <v>45778</v>
      </c>
      <c r="I53" s="2">
        <f>_xlfn.DAYS(patients[[#This Row],[DischargeDate]],patients[[#This Row],[AdmissionDate]])</f>
        <v>69</v>
      </c>
      <c r="J53">
        <v>1</v>
      </c>
      <c r="K53" t="str">
        <f>VLOOKUP(patients[[#This Row],[OutcomeID]],outcomes[],2)</f>
        <v>Recovered</v>
      </c>
      <c r="L53">
        <v>8514</v>
      </c>
      <c r="M53" t="str">
        <f>VLOOKUP(patients[[#This Row],[PatientID]],labs[[LabID]:[TestName]],3)</f>
        <v>Cholesterol</v>
      </c>
      <c r="N53">
        <f>VLOOKUP(patients[[#This Row],[PatientID]],labs[],4)</f>
        <v>161.5</v>
      </c>
    </row>
    <row r="54" spans="1:14" x14ac:dyDescent="0.3">
      <c r="A54">
        <v>53</v>
      </c>
      <c r="B54" t="s">
        <v>64</v>
      </c>
      <c r="C54">
        <v>36</v>
      </c>
      <c r="D54" t="s">
        <v>15</v>
      </c>
      <c r="E54">
        <v>9</v>
      </c>
      <c r="F54" t="str">
        <f>VLOOKUP(patients[[#This Row],[DiagnosisID]],diagnoses[#All],2)</f>
        <v>Kidney Disease</v>
      </c>
      <c r="G54" s="1">
        <v>45740</v>
      </c>
      <c r="H54" s="1">
        <v>45744</v>
      </c>
      <c r="I54" s="2">
        <f>_xlfn.DAYS(patients[[#This Row],[DischargeDate]],patients[[#This Row],[AdmissionDate]])</f>
        <v>4</v>
      </c>
      <c r="J54">
        <v>2</v>
      </c>
      <c r="K54" t="str">
        <f>VLOOKUP(patients[[#This Row],[OutcomeID]],outcomes[],2)</f>
        <v>Complicated</v>
      </c>
      <c r="L54">
        <v>7031</v>
      </c>
      <c r="M54" t="str">
        <f>VLOOKUP(patients[[#This Row],[PatientID]],labs[[LabID]:[TestName]],3)</f>
        <v>Creatinine</v>
      </c>
      <c r="N54">
        <f>VLOOKUP(patients[[#This Row],[PatientID]],labs[],4)</f>
        <v>118.4</v>
      </c>
    </row>
    <row r="55" spans="1:14" x14ac:dyDescent="0.3">
      <c r="A55">
        <v>54</v>
      </c>
      <c r="B55" t="s">
        <v>65</v>
      </c>
      <c r="C55">
        <v>50</v>
      </c>
      <c r="D55" t="s">
        <v>15</v>
      </c>
      <c r="E55">
        <v>10</v>
      </c>
      <c r="F55" t="str">
        <f>VLOOKUP(patients[[#This Row],[DiagnosisID]],diagnoses[#All],2)</f>
        <v>Liver Disease</v>
      </c>
      <c r="G55" s="1">
        <v>45768</v>
      </c>
      <c r="H55" s="1">
        <v>45817</v>
      </c>
      <c r="I55" s="2">
        <f>_xlfn.DAYS(patients[[#This Row],[DischargeDate]],patients[[#This Row],[AdmissionDate]])</f>
        <v>49</v>
      </c>
      <c r="J55">
        <v>2</v>
      </c>
      <c r="K55" t="str">
        <f>VLOOKUP(patients[[#This Row],[OutcomeID]],outcomes[],2)</f>
        <v>Complicated</v>
      </c>
      <c r="L55">
        <v>8030</v>
      </c>
      <c r="M55" t="str">
        <f>VLOOKUP(patients[[#This Row],[PatientID]],labs[[LabID]:[TestName]],3)</f>
        <v>Blood Sugar</v>
      </c>
      <c r="N55">
        <f>VLOOKUP(patients[[#This Row],[PatientID]],labs[],4)</f>
        <v>299.3</v>
      </c>
    </row>
    <row r="56" spans="1:14" x14ac:dyDescent="0.3">
      <c r="A56">
        <v>55</v>
      </c>
      <c r="B56" t="s">
        <v>66</v>
      </c>
      <c r="C56">
        <v>38</v>
      </c>
      <c r="D56" t="s">
        <v>15</v>
      </c>
      <c r="E56">
        <v>6</v>
      </c>
      <c r="F56" t="str">
        <f>VLOOKUP(patients[[#This Row],[DiagnosisID]],diagnoses[#All],2)</f>
        <v>COPD</v>
      </c>
      <c r="G56" s="1">
        <v>45801</v>
      </c>
      <c r="H56" s="1">
        <v>45809</v>
      </c>
      <c r="I56" s="2">
        <f>_xlfn.DAYS(patients[[#This Row],[DischargeDate]],patients[[#This Row],[AdmissionDate]])</f>
        <v>8</v>
      </c>
      <c r="J56">
        <v>2</v>
      </c>
      <c r="K56" t="str">
        <f>VLOOKUP(patients[[#This Row],[OutcomeID]],outcomes[],2)</f>
        <v>Complicated</v>
      </c>
      <c r="L56">
        <v>4708</v>
      </c>
      <c r="M56" t="str">
        <f>VLOOKUP(patients[[#This Row],[PatientID]],labs[[LabID]:[TestName]],3)</f>
        <v>Hemoglobin</v>
      </c>
      <c r="N56">
        <f>VLOOKUP(patients[[#This Row],[PatientID]],labs[],4)</f>
        <v>156.5</v>
      </c>
    </row>
    <row r="57" spans="1:14" x14ac:dyDescent="0.3">
      <c r="A57">
        <v>56</v>
      </c>
      <c r="B57" t="s">
        <v>67</v>
      </c>
      <c r="C57">
        <v>68</v>
      </c>
      <c r="D57" t="s">
        <v>11</v>
      </c>
      <c r="E57">
        <v>10</v>
      </c>
      <c r="F57" t="str">
        <f>VLOOKUP(patients[[#This Row],[DiagnosisID]],diagnoses[#All],2)</f>
        <v>Liver Disease</v>
      </c>
      <c r="G57" s="1">
        <v>45774</v>
      </c>
      <c r="H57" s="1">
        <v>45808</v>
      </c>
      <c r="I57" s="2">
        <f>_xlfn.DAYS(patients[[#This Row],[DischargeDate]],patients[[#This Row],[AdmissionDate]])</f>
        <v>34</v>
      </c>
      <c r="J57">
        <v>1</v>
      </c>
      <c r="K57" t="str">
        <f>VLOOKUP(patients[[#This Row],[OutcomeID]],outcomes[],2)</f>
        <v>Recovered</v>
      </c>
      <c r="L57">
        <v>5502</v>
      </c>
      <c r="M57" t="str">
        <f>VLOOKUP(patients[[#This Row],[PatientID]],labs[[LabID]:[TestName]],3)</f>
        <v>Vitamin D</v>
      </c>
      <c r="N57">
        <f>VLOOKUP(patients[[#This Row],[PatientID]],labs[],4)</f>
        <v>162.80000000000001</v>
      </c>
    </row>
    <row r="58" spans="1:14" x14ac:dyDescent="0.3">
      <c r="A58">
        <v>57</v>
      </c>
      <c r="B58" t="s">
        <v>68</v>
      </c>
      <c r="C58">
        <v>47</v>
      </c>
      <c r="D58" t="s">
        <v>15</v>
      </c>
      <c r="E58">
        <v>3</v>
      </c>
      <c r="F58" t="str">
        <f>VLOOKUP(patients[[#This Row],[DiagnosisID]],diagnoses[#All],2)</f>
        <v>Heart Disease</v>
      </c>
      <c r="G58" s="1">
        <v>45726</v>
      </c>
      <c r="H58" s="1">
        <v>45732</v>
      </c>
      <c r="I58" s="2">
        <f>_xlfn.DAYS(patients[[#This Row],[DischargeDate]],patients[[#This Row],[AdmissionDate]])</f>
        <v>6</v>
      </c>
      <c r="J58">
        <v>2</v>
      </c>
      <c r="K58" t="str">
        <f>VLOOKUP(patients[[#This Row],[OutcomeID]],outcomes[],2)</f>
        <v>Complicated</v>
      </c>
      <c r="L58">
        <v>9112</v>
      </c>
      <c r="M58" t="str">
        <f>VLOOKUP(patients[[#This Row],[PatientID]],labs[[LabID]:[TestName]],3)</f>
        <v>Blood Sugar</v>
      </c>
      <c r="N58">
        <f>VLOOKUP(patients[[#This Row],[PatientID]],labs[],4)</f>
        <v>90.9</v>
      </c>
    </row>
    <row r="59" spans="1:14" x14ac:dyDescent="0.3">
      <c r="A59">
        <v>58</v>
      </c>
      <c r="B59" t="s">
        <v>69</v>
      </c>
      <c r="C59">
        <v>33</v>
      </c>
      <c r="D59" t="s">
        <v>11</v>
      </c>
      <c r="E59">
        <v>8</v>
      </c>
      <c r="F59" t="str">
        <f>VLOOKUP(patients[[#This Row],[DiagnosisID]],diagnoses[#All],2)</f>
        <v>Arthritis</v>
      </c>
      <c r="G59" s="1">
        <v>45756</v>
      </c>
      <c r="H59" s="1">
        <v>45766</v>
      </c>
      <c r="I59" s="2">
        <f>_xlfn.DAYS(patients[[#This Row],[DischargeDate]],patients[[#This Row],[AdmissionDate]])</f>
        <v>10</v>
      </c>
      <c r="J59">
        <v>3</v>
      </c>
      <c r="K59" t="str">
        <f>VLOOKUP(patients[[#This Row],[OutcomeID]],outcomes[],2)</f>
        <v>Deceased</v>
      </c>
      <c r="L59">
        <v>3332</v>
      </c>
      <c r="M59" t="str">
        <f>VLOOKUP(patients[[#This Row],[PatientID]],labs[[LabID]:[TestName]],3)</f>
        <v>Creatinine</v>
      </c>
      <c r="N59">
        <f>VLOOKUP(patients[[#This Row],[PatientID]],labs[],4)</f>
        <v>248.7</v>
      </c>
    </row>
    <row r="60" spans="1:14" x14ac:dyDescent="0.3">
      <c r="A60">
        <v>59</v>
      </c>
      <c r="B60" t="s">
        <v>70</v>
      </c>
      <c r="C60">
        <v>54</v>
      </c>
      <c r="D60" t="s">
        <v>15</v>
      </c>
      <c r="E60">
        <v>8</v>
      </c>
      <c r="F60" t="str">
        <f>VLOOKUP(patients[[#This Row],[DiagnosisID]],diagnoses[#All],2)</f>
        <v>Arthritis</v>
      </c>
      <c r="G60" s="1">
        <v>45797</v>
      </c>
      <c r="H60" s="1">
        <v>45845</v>
      </c>
      <c r="I60" s="2">
        <f>_xlfn.DAYS(patients[[#This Row],[DischargeDate]],patients[[#This Row],[AdmissionDate]])</f>
        <v>48</v>
      </c>
      <c r="J60">
        <v>3</v>
      </c>
      <c r="K60" t="str">
        <f>VLOOKUP(patients[[#This Row],[OutcomeID]],outcomes[],2)</f>
        <v>Deceased</v>
      </c>
      <c r="L60">
        <v>9304</v>
      </c>
      <c r="M60" t="str">
        <f>VLOOKUP(patients[[#This Row],[PatientID]],labs[[LabID]:[TestName]],3)</f>
        <v>Blood Sugar</v>
      </c>
      <c r="N60">
        <f>VLOOKUP(patients[[#This Row],[PatientID]],labs[],4)</f>
        <v>223.4</v>
      </c>
    </row>
    <row r="61" spans="1:14" x14ac:dyDescent="0.3">
      <c r="A61">
        <v>60</v>
      </c>
      <c r="B61" t="s">
        <v>71</v>
      </c>
      <c r="C61">
        <v>89</v>
      </c>
      <c r="D61" t="s">
        <v>11</v>
      </c>
      <c r="E61">
        <v>2</v>
      </c>
      <c r="F61" t="str">
        <f>VLOOKUP(patients[[#This Row],[DiagnosisID]],diagnoses[#All],2)</f>
        <v>Diabetes</v>
      </c>
      <c r="G61" s="1">
        <v>45682</v>
      </c>
      <c r="H61" s="1">
        <v>45769</v>
      </c>
      <c r="I61" s="2">
        <f>_xlfn.DAYS(patients[[#This Row],[DischargeDate]],patients[[#This Row],[AdmissionDate]])</f>
        <v>87</v>
      </c>
      <c r="J61">
        <v>1</v>
      </c>
      <c r="K61" t="str">
        <f>VLOOKUP(patients[[#This Row],[OutcomeID]],outcomes[],2)</f>
        <v>Recovered</v>
      </c>
      <c r="L61">
        <v>2201</v>
      </c>
      <c r="M61" t="str">
        <f>VLOOKUP(patients[[#This Row],[PatientID]],labs[[LabID]:[TestName]],3)</f>
        <v>Blood Pressure</v>
      </c>
      <c r="N61">
        <f>VLOOKUP(patients[[#This Row],[PatientID]],labs[],4)</f>
        <v>105.2</v>
      </c>
    </row>
    <row r="62" spans="1:14" x14ac:dyDescent="0.3">
      <c r="A62">
        <v>61</v>
      </c>
      <c r="B62" t="s">
        <v>72</v>
      </c>
      <c r="C62">
        <v>43</v>
      </c>
      <c r="D62" t="s">
        <v>15</v>
      </c>
      <c r="E62">
        <v>6</v>
      </c>
      <c r="F62" t="str">
        <f>VLOOKUP(patients[[#This Row],[DiagnosisID]],diagnoses[#All],2)</f>
        <v>COPD</v>
      </c>
      <c r="G62" s="1">
        <v>45837</v>
      </c>
      <c r="H62" s="1">
        <v>45842</v>
      </c>
      <c r="I62" s="2">
        <f>_xlfn.DAYS(patients[[#This Row],[DischargeDate]],patients[[#This Row],[AdmissionDate]])</f>
        <v>5</v>
      </c>
      <c r="J62">
        <v>3</v>
      </c>
      <c r="K62" t="str">
        <f>VLOOKUP(patients[[#This Row],[OutcomeID]],outcomes[],2)</f>
        <v>Deceased</v>
      </c>
      <c r="L62">
        <v>5507</v>
      </c>
      <c r="M62" t="str">
        <f>VLOOKUP(patients[[#This Row],[PatientID]],labs[[LabID]:[TestName]],3)</f>
        <v>Vitamin D</v>
      </c>
      <c r="N62">
        <f>VLOOKUP(patients[[#This Row],[PatientID]],labs[],4)</f>
        <v>70.599999999999994</v>
      </c>
    </row>
    <row r="63" spans="1:14" x14ac:dyDescent="0.3">
      <c r="A63">
        <v>62</v>
      </c>
      <c r="B63" t="s">
        <v>73</v>
      </c>
      <c r="C63">
        <v>79</v>
      </c>
      <c r="D63" t="s">
        <v>15</v>
      </c>
      <c r="E63">
        <v>7</v>
      </c>
      <c r="F63" t="str">
        <f>VLOOKUP(patients[[#This Row],[DiagnosisID]],diagnoses[#All],2)</f>
        <v>Cancer</v>
      </c>
      <c r="G63" s="1">
        <v>45780</v>
      </c>
      <c r="H63" s="1">
        <v>45781</v>
      </c>
      <c r="I63" s="2">
        <f>_xlfn.DAYS(patients[[#This Row],[DischargeDate]],patients[[#This Row],[AdmissionDate]])</f>
        <v>1</v>
      </c>
      <c r="J63">
        <v>3</v>
      </c>
      <c r="K63" t="str">
        <f>VLOOKUP(patients[[#This Row],[OutcomeID]],outcomes[],2)</f>
        <v>Deceased</v>
      </c>
      <c r="L63">
        <v>8456</v>
      </c>
      <c r="M63" t="str">
        <f>VLOOKUP(patients[[#This Row],[PatientID]],labs[[LabID]:[TestName]],3)</f>
        <v>Creatinine</v>
      </c>
      <c r="N63">
        <f>VLOOKUP(patients[[#This Row],[PatientID]],labs[],4)</f>
        <v>220.1</v>
      </c>
    </row>
    <row r="64" spans="1:14" x14ac:dyDescent="0.3">
      <c r="A64">
        <v>63</v>
      </c>
      <c r="B64" t="s">
        <v>74</v>
      </c>
      <c r="C64">
        <v>87</v>
      </c>
      <c r="D64" t="s">
        <v>15</v>
      </c>
      <c r="E64">
        <v>2</v>
      </c>
      <c r="F64" t="str">
        <f>VLOOKUP(patients[[#This Row],[DiagnosisID]],diagnoses[#All],2)</f>
        <v>Diabetes</v>
      </c>
      <c r="G64" s="1">
        <v>45710</v>
      </c>
      <c r="H64" s="1">
        <v>45716</v>
      </c>
      <c r="I64" s="2">
        <f>_xlfn.DAYS(patients[[#This Row],[DischargeDate]],patients[[#This Row],[AdmissionDate]])</f>
        <v>6</v>
      </c>
      <c r="J64">
        <v>1</v>
      </c>
      <c r="K64" t="str">
        <f>VLOOKUP(patients[[#This Row],[OutcomeID]],outcomes[],2)</f>
        <v>Recovered</v>
      </c>
      <c r="L64">
        <v>6212</v>
      </c>
      <c r="M64" t="str">
        <f>VLOOKUP(patients[[#This Row],[PatientID]],labs[[LabID]:[TestName]],3)</f>
        <v>Creatinine</v>
      </c>
      <c r="N64">
        <f>VLOOKUP(patients[[#This Row],[PatientID]],labs[],4)</f>
        <v>213.6</v>
      </c>
    </row>
    <row r="65" spans="1:14" x14ac:dyDescent="0.3">
      <c r="A65">
        <v>64</v>
      </c>
      <c r="B65" t="s">
        <v>75</v>
      </c>
      <c r="C65">
        <v>38</v>
      </c>
      <c r="D65" t="s">
        <v>15</v>
      </c>
      <c r="E65">
        <v>10</v>
      </c>
      <c r="F65" t="str">
        <f>VLOOKUP(patients[[#This Row],[DiagnosisID]],diagnoses[#All],2)</f>
        <v>Liver Disease</v>
      </c>
      <c r="G65" s="1">
        <v>45808</v>
      </c>
      <c r="H65" s="1">
        <v>45811</v>
      </c>
      <c r="I65" s="2">
        <f>_xlfn.DAYS(patients[[#This Row],[DischargeDate]],patients[[#This Row],[AdmissionDate]])</f>
        <v>3</v>
      </c>
      <c r="J65">
        <v>2</v>
      </c>
      <c r="K65" t="str">
        <f>VLOOKUP(patients[[#This Row],[OutcomeID]],outcomes[],2)</f>
        <v>Complicated</v>
      </c>
      <c r="L65">
        <v>9833</v>
      </c>
      <c r="M65" t="str">
        <f>VLOOKUP(patients[[#This Row],[PatientID]],labs[[LabID]:[TestName]],3)</f>
        <v>Cholesterol</v>
      </c>
      <c r="N65">
        <f>VLOOKUP(patients[[#This Row],[PatientID]],labs[],4)</f>
        <v>118.3</v>
      </c>
    </row>
    <row r="66" spans="1:14" x14ac:dyDescent="0.3">
      <c r="A66">
        <v>65</v>
      </c>
      <c r="B66" t="s">
        <v>76</v>
      </c>
      <c r="C66">
        <v>55</v>
      </c>
      <c r="D66" t="s">
        <v>11</v>
      </c>
      <c r="E66">
        <v>2</v>
      </c>
      <c r="F66" t="str">
        <f>VLOOKUP(patients[[#This Row],[DiagnosisID]],diagnoses[#All],2)</f>
        <v>Diabetes</v>
      </c>
      <c r="G66" s="1">
        <v>45801</v>
      </c>
      <c r="H66" s="1">
        <v>45808</v>
      </c>
      <c r="I66" s="2">
        <f>_xlfn.DAYS(patients[[#This Row],[DischargeDate]],patients[[#This Row],[AdmissionDate]])</f>
        <v>7</v>
      </c>
      <c r="J66">
        <v>2</v>
      </c>
      <c r="K66" t="str">
        <f>VLOOKUP(patients[[#This Row],[OutcomeID]],outcomes[],2)</f>
        <v>Complicated</v>
      </c>
      <c r="L66">
        <v>7032</v>
      </c>
      <c r="M66" t="str">
        <f>VLOOKUP(patients[[#This Row],[PatientID]],labs[[LabID]:[TestName]],3)</f>
        <v>Hemoglobin</v>
      </c>
      <c r="N66">
        <f>VLOOKUP(patients[[#This Row],[PatientID]],labs[],4)</f>
        <v>287.7</v>
      </c>
    </row>
    <row r="67" spans="1:14" x14ac:dyDescent="0.3">
      <c r="A67">
        <v>66</v>
      </c>
      <c r="B67" t="s">
        <v>77</v>
      </c>
      <c r="C67">
        <v>82</v>
      </c>
      <c r="D67" t="s">
        <v>15</v>
      </c>
      <c r="E67">
        <v>10</v>
      </c>
      <c r="F67" t="str">
        <f>VLOOKUP(patients[[#This Row],[DiagnosisID]],diagnoses[#All],2)</f>
        <v>Liver Disease</v>
      </c>
      <c r="G67" s="1">
        <v>45714</v>
      </c>
      <c r="H67" s="1">
        <v>45720</v>
      </c>
      <c r="I67" s="2">
        <f>_xlfn.DAYS(patients[[#This Row],[DischargeDate]],patients[[#This Row],[AdmissionDate]])</f>
        <v>6</v>
      </c>
      <c r="J67">
        <v>2</v>
      </c>
      <c r="K67" t="str">
        <f>VLOOKUP(patients[[#This Row],[OutcomeID]],outcomes[],2)</f>
        <v>Complicated</v>
      </c>
      <c r="L67">
        <v>9970</v>
      </c>
      <c r="M67" t="str">
        <f>VLOOKUP(patients[[#This Row],[PatientID]],labs[[LabID]:[TestName]],3)</f>
        <v>Cholesterol</v>
      </c>
      <c r="N67">
        <f>VLOOKUP(patients[[#This Row],[PatientID]],labs[],4)</f>
        <v>87.8</v>
      </c>
    </row>
    <row r="68" spans="1:14" x14ac:dyDescent="0.3">
      <c r="A68">
        <v>67</v>
      </c>
      <c r="B68" t="s">
        <v>78</v>
      </c>
      <c r="C68">
        <v>31</v>
      </c>
      <c r="D68" t="s">
        <v>11</v>
      </c>
      <c r="E68">
        <v>1</v>
      </c>
      <c r="F68" t="str">
        <f>VLOOKUP(patients[[#This Row],[DiagnosisID]],diagnoses[#All],2)</f>
        <v>Hypertension</v>
      </c>
      <c r="G68" s="1">
        <v>45696</v>
      </c>
      <c r="H68" s="1">
        <v>45745</v>
      </c>
      <c r="I68" s="2">
        <f>_xlfn.DAYS(patients[[#This Row],[DischargeDate]],patients[[#This Row],[AdmissionDate]])</f>
        <v>49</v>
      </c>
      <c r="J68">
        <v>1</v>
      </c>
      <c r="K68" t="str">
        <f>VLOOKUP(patients[[#This Row],[OutcomeID]],outcomes[],2)</f>
        <v>Recovered</v>
      </c>
      <c r="L68">
        <v>2574</v>
      </c>
      <c r="M68" t="str">
        <f>VLOOKUP(patients[[#This Row],[PatientID]],labs[[LabID]:[TestName]],3)</f>
        <v>Creatinine</v>
      </c>
      <c r="N68">
        <f>VLOOKUP(patients[[#This Row],[PatientID]],labs[],4)</f>
        <v>158.1</v>
      </c>
    </row>
    <row r="69" spans="1:14" x14ac:dyDescent="0.3">
      <c r="A69">
        <v>68</v>
      </c>
      <c r="B69" t="s">
        <v>79</v>
      </c>
      <c r="C69">
        <v>49</v>
      </c>
      <c r="D69" t="s">
        <v>11</v>
      </c>
      <c r="E69">
        <v>8</v>
      </c>
      <c r="F69" t="str">
        <f>VLOOKUP(patients[[#This Row],[DiagnosisID]],diagnoses[#All],2)</f>
        <v>Arthritis</v>
      </c>
      <c r="G69" s="1">
        <v>45766</v>
      </c>
      <c r="H69" s="1">
        <v>45771</v>
      </c>
      <c r="I69" s="2">
        <f>_xlfn.DAYS(patients[[#This Row],[DischargeDate]],patients[[#This Row],[AdmissionDate]])</f>
        <v>5</v>
      </c>
      <c r="J69">
        <v>3</v>
      </c>
      <c r="K69" t="str">
        <f>VLOOKUP(patients[[#This Row],[OutcomeID]],outcomes[],2)</f>
        <v>Deceased</v>
      </c>
      <c r="L69">
        <v>8387</v>
      </c>
      <c r="M69" t="str">
        <f>VLOOKUP(patients[[#This Row],[PatientID]],labs[[LabID]:[TestName]],3)</f>
        <v>Vitamin D</v>
      </c>
      <c r="N69">
        <f>VLOOKUP(patients[[#This Row],[PatientID]],labs[],4)</f>
        <v>285.89999999999998</v>
      </c>
    </row>
    <row r="70" spans="1:14" x14ac:dyDescent="0.3">
      <c r="A70">
        <v>69</v>
      </c>
      <c r="B70" t="s">
        <v>80</v>
      </c>
      <c r="C70">
        <v>57</v>
      </c>
      <c r="D70" t="s">
        <v>11</v>
      </c>
      <c r="E70">
        <v>1</v>
      </c>
      <c r="F70" t="str">
        <f>VLOOKUP(patients[[#This Row],[DiagnosisID]],diagnoses[#All],2)</f>
        <v>Hypertension</v>
      </c>
      <c r="G70" s="1">
        <v>45838</v>
      </c>
      <c r="H70" s="1">
        <v>45845</v>
      </c>
      <c r="I70" s="2">
        <f>_xlfn.DAYS(patients[[#This Row],[DischargeDate]],patients[[#This Row],[AdmissionDate]])</f>
        <v>7</v>
      </c>
      <c r="J70">
        <v>2</v>
      </c>
      <c r="K70" t="str">
        <f>VLOOKUP(patients[[#This Row],[OutcomeID]],outcomes[],2)</f>
        <v>Complicated</v>
      </c>
      <c r="L70">
        <v>2536</v>
      </c>
      <c r="M70" t="str">
        <f>VLOOKUP(patients[[#This Row],[PatientID]],labs[[LabID]:[TestName]],3)</f>
        <v>Blood Sugar</v>
      </c>
      <c r="N70">
        <f>VLOOKUP(patients[[#This Row],[PatientID]],labs[],4)</f>
        <v>154.9</v>
      </c>
    </row>
    <row r="71" spans="1:14" x14ac:dyDescent="0.3">
      <c r="A71">
        <v>70</v>
      </c>
      <c r="B71" t="s">
        <v>81</v>
      </c>
      <c r="C71">
        <v>76</v>
      </c>
      <c r="D71" t="s">
        <v>11</v>
      </c>
      <c r="E71">
        <v>9</v>
      </c>
      <c r="F71" t="str">
        <f>VLOOKUP(patients[[#This Row],[DiagnosisID]],diagnoses[#All],2)</f>
        <v>Kidney Disease</v>
      </c>
      <c r="G71" s="1">
        <v>45699</v>
      </c>
      <c r="H71" s="1">
        <v>45718</v>
      </c>
      <c r="I71" s="2">
        <f>_xlfn.DAYS(patients[[#This Row],[DischargeDate]],patients[[#This Row],[AdmissionDate]])</f>
        <v>19</v>
      </c>
      <c r="J71">
        <v>2</v>
      </c>
      <c r="K71" t="str">
        <f>VLOOKUP(patients[[#This Row],[OutcomeID]],outcomes[],2)</f>
        <v>Complicated</v>
      </c>
      <c r="L71">
        <v>3625</v>
      </c>
      <c r="M71" t="str">
        <f>VLOOKUP(patients[[#This Row],[PatientID]],labs[[LabID]:[TestName]],3)</f>
        <v>Blood Sugar</v>
      </c>
      <c r="N71">
        <f>VLOOKUP(patients[[#This Row],[PatientID]],labs[],4)</f>
        <v>209.6</v>
      </c>
    </row>
    <row r="72" spans="1:14" x14ac:dyDescent="0.3">
      <c r="A72">
        <v>71</v>
      </c>
      <c r="B72" t="s">
        <v>82</v>
      </c>
      <c r="C72">
        <v>89</v>
      </c>
      <c r="D72" t="s">
        <v>15</v>
      </c>
      <c r="E72">
        <v>6</v>
      </c>
      <c r="F72" t="str">
        <f>VLOOKUP(patients[[#This Row],[DiagnosisID]],diagnoses[#All],2)</f>
        <v>COPD</v>
      </c>
      <c r="G72" s="1">
        <v>45824</v>
      </c>
      <c r="H72" s="1">
        <v>45832</v>
      </c>
      <c r="I72" s="2">
        <f>_xlfn.DAYS(patients[[#This Row],[DischargeDate]],patients[[#This Row],[AdmissionDate]])</f>
        <v>8</v>
      </c>
      <c r="J72">
        <v>1</v>
      </c>
      <c r="K72" t="str">
        <f>VLOOKUP(patients[[#This Row],[OutcomeID]],outcomes[],2)</f>
        <v>Recovered</v>
      </c>
      <c r="L72">
        <v>4122</v>
      </c>
      <c r="M72" t="str">
        <f>VLOOKUP(patients[[#This Row],[PatientID]],labs[[LabID]:[TestName]],3)</f>
        <v>Vitamin D</v>
      </c>
      <c r="N72">
        <f>VLOOKUP(patients[[#This Row],[PatientID]],labs[],4)</f>
        <v>149.4</v>
      </c>
    </row>
    <row r="73" spans="1:14" x14ac:dyDescent="0.3">
      <c r="A73">
        <v>72</v>
      </c>
      <c r="B73" t="s">
        <v>83</v>
      </c>
      <c r="C73">
        <v>36</v>
      </c>
      <c r="D73" t="s">
        <v>11</v>
      </c>
      <c r="E73">
        <v>7</v>
      </c>
      <c r="F73" t="str">
        <f>VLOOKUP(patients[[#This Row],[DiagnosisID]],diagnoses[#All],2)</f>
        <v>Cancer</v>
      </c>
      <c r="G73" s="1">
        <v>45799</v>
      </c>
      <c r="H73" s="1">
        <v>45802</v>
      </c>
      <c r="I73" s="2">
        <f>_xlfn.DAYS(patients[[#This Row],[DischargeDate]],patients[[#This Row],[AdmissionDate]])</f>
        <v>3</v>
      </c>
      <c r="J73">
        <v>2</v>
      </c>
      <c r="K73" t="str">
        <f>VLOOKUP(patients[[#This Row],[OutcomeID]],outcomes[],2)</f>
        <v>Complicated</v>
      </c>
      <c r="L73">
        <v>9973</v>
      </c>
      <c r="M73" t="str">
        <f>VLOOKUP(patients[[#This Row],[PatientID]],labs[[LabID]:[TestName]],3)</f>
        <v>Creatinine</v>
      </c>
      <c r="N73">
        <f>VLOOKUP(patients[[#This Row],[PatientID]],labs[],4)</f>
        <v>118.6</v>
      </c>
    </row>
    <row r="74" spans="1:14" x14ac:dyDescent="0.3">
      <c r="A74">
        <v>73</v>
      </c>
      <c r="B74" t="s">
        <v>84</v>
      </c>
      <c r="C74">
        <v>73</v>
      </c>
      <c r="D74" t="s">
        <v>11</v>
      </c>
      <c r="E74">
        <v>10</v>
      </c>
      <c r="F74" t="str">
        <f>VLOOKUP(patients[[#This Row],[DiagnosisID]],diagnoses[#All],2)</f>
        <v>Liver Disease</v>
      </c>
      <c r="G74" s="1">
        <v>45779</v>
      </c>
      <c r="H74" s="1">
        <v>45783</v>
      </c>
      <c r="I74" s="2">
        <f>_xlfn.DAYS(patients[[#This Row],[DischargeDate]],patients[[#This Row],[AdmissionDate]])</f>
        <v>4</v>
      </c>
      <c r="J74">
        <v>1</v>
      </c>
      <c r="K74" t="str">
        <f>VLOOKUP(patients[[#This Row],[OutcomeID]],outcomes[],2)</f>
        <v>Recovered</v>
      </c>
      <c r="L74">
        <v>2385</v>
      </c>
      <c r="M74" t="str">
        <f>VLOOKUP(patients[[#This Row],[PatientID]],labs[[LabID]:[TestName]],3)</f>
        <v>Blood Sugar</v>
      </c>
      <c r="N74">
        <f>VLOOKUP(patients[[#This Row],[PatientID]],labs[],4)</f>
        <v>296</v>
      </c>
    </row>
    <row r="75" spans="1:14" x14ac:dyDescent="0.3">
      <c r="A75">
        <v>74</v>
      </c>
      <c r="B75" t="s">
        <v>85</v>
      </c>
      <c r="C75">
        <v>37</v>
      </c>
      <c r="D75" t="s">
        <v>11</v>
      </c>
      <c r="E75">
        <v>7</v>
      </c>
      <c r="F75" t="str">
        <f>VLOOKUP(patients[[#This Row],[DiagnosisID]],diagnoses[#All],2)</f>
        <v>Cancer</v>
      </c>
      <c r="G75" s="1">
        <v>45790</v>
      </c>
      <c r="H75" s="1">
        <v>45796</v>
      </c>
      <c r="I75" s="2">
        <f>_xlfn.DAYS(patients[[#This Row],[DischargeDate]],patients[[#This Row],[AdmissionDate]])</f>
        <v>6</v>
      </c>
      <c r="J75">
        <v>3</v>
      </c>
      <c r="K75" t="str">
        <f>VLOOKUP(patients[[#This Row],[OutcomeID]],outcomes[],2)</f>
        <v>Deceased</v>
      </c>
      <c r="L75">
        <v>5281</v>
      </c>
      <c r="M75" t="str">
        <f>VLOOKUP(patients[[#This Row],[PatientID]],labs[[LabID]:[TestName]],3)</f>
        <v>Blood Sugar</v>
      </c>
      <c r="N75">
        <f>VLOOKUP(patients[[#This Row],[PatientID]],labs[],4)</f>
        <v>152.30000000000001</v>
      </c>
    </row>
    <row r="76" spans="1:14" x14ac:dyDescent="0.3">
      <c r="A76">
        <v>75</v>
      </c>
      <c r="B76" t="s">
        <v>86</v>
      </c>
      <c r="C76">
        <v>76</v>
      </c>
      <c r="D76" t="s">
        <v>15</v>
      </c>
      <c r="E76">
        <v>10</v>
      </c>
      <c r="F76" t="str">
        <f>VLOOKUP(patients[[#This Row],[DiagnosisID]],diagnoses[#All],2)</f>
        <v>Liver Disease</v>
      </c>
      <c r="G76" s="1">
        <v>45820</v>
      </c>
      <c r="H76" s="1">
        <v>45822</v>
      </c>
      <c r="I76" s="2">
        <f>_xlfn.DAYS(patients[[#This Row],[DischargeDate]],patients[[#This Row],[AdmissionDate]])</f>
        <v>2</v>
      </c>
      <c r="J76">
        <v>1</v>
      </c>
      <c r="K76" t="str">
        <f>VLOOKUP(patients[[#This Row],[OutcomeID]],outcomes[],2)</f>
        <v>Recovered</v>
      </c>
      <c r="L76">
        <v>2474</v>
      </c>
      <c r="M76" t="str">
        <f>VLOOKUP(patients[[#This Row],[PatientID]],labs[[LabID]:[TestName]],3)</f>
        <v>Blood Sugar</v>
      </c>
      <c r="N76">
        <f>VLOOKUP(patients[[#This Row],[PatientID]],labs[],4)</f>
        <v>273.5</v>
      </c>
    </row>
    <row r="77" spans="1:14" x14ac:dyDescent="0.3">
      <c r="A77">
        <v>76</v>
      </c>
      <c r="B77" t="s">
        <v>87</v>
      </c>
      <c r="C77">
        <v>64</v>
      </c>
      <c r="D77" t="s">
        <v>15</v>
      </c>
      <c r="E77">
        <v>3</v>
      </c>
      <c r="F77" t="str">
        <f>VLOOKUP(patients[[#This Row],[DiagnosisID]],diagnoses[#All],2)</f>
        <v>Heart Disease</v>
      </c>
      <c r="G77" s="1">
        <v>45732</v>
      </c>
      <c r="H77" s="1">
        <v>45747</v>
      </c>
      <c r="I77" s="2">
        <f>_xlfn.DAYS(patients[[#This Row],[DischargeDate]],patients[[#This Row],[AdmissionDate]])</f>
        <v>15</v>
      </c>
      <c r="J77">
        <v>1</v>
      </c>
      <c r="K77" t="str">
        <f>VLOOKUP(patients[[#This Row],[OutcomeID]],outcomes[],2)</f>
        <v>Recovered</v>
      </c>
      <c r="L77">
        <v>2417</v>
      </c>
      <c r="M77" t="str">
        <f>VLOOKUP(patients[[#This Row],[PatientID]],labs[[LabID]:[TestName]],3)</f>
        <v>Hemoglobin</v>
      </c>
      <c r="N77">
        <f>VLOOKUP(patients[[#This Row],[PatientID]],labs[],4)</f>
        <v>107.5</v>
      </c>
    </row>
    <row r="78" spans="1:14" x14ac:dyDescent="0.3">
      <c r="A78">
        <v>77</v>
      </c>
      <c r="B78" t="s">
        <v>88</v>
      </c>
      <c r="C78">
        <v>43</v>
      </c>
      <c r="D78" t="s">
        <v>15</v>
      </c>
      <c r="E78">
        <v>2</v>
      </c>
      <c r="F78" t="str">
        <f>VLOOKUP(patients[[#This Row],[DiagnosisID]],diagnoses[#All],2)</f>
        <v>Diabetes</v>
      </c>
      <c r="G78" s="1">
        <v>45803</v>
      </c>
      <c r="H78" s="1">
        <v>45805</v>
      </c>
      <c r="I78" s="2">
        <f>_xlfn.DAYS(patients[[#This Row],[DischargeDate]],patients[[#This Row],[AdmissionDate]])</f>
        <v>2</v>
      </c>
      <c r="J78">
        <v>1</v>
      </c>
      <c r="K78" t="str">
        <f>VLOOKUP(patients[[#This Row],[OutcomeID]],outcomes[],2)</f>
        <v>Recovered</v>
      </c>
      <c r="L78">
        <v>8490</v>
      </c>
      <c r="M78" t="str">
        <f>VLOOKUP(patients[[#This Row],[PatientID]],labs[[LabID]:[TestName]],3)</f>
        <v>Hemoglobin</v>
      </c>
      <c r="N78">
        <f>VLOOKUP(patients[[#This Row],[PatientID]],labs[],4)</f>
        <v>103.3</v>
      </c>
    </row>
    <row r="79" spans="1:14" x14ac:dyDescent="0.3">
      <c r="A79">
        <v>78</v>
      </c>
      <c r="B79" t="s">
        <v>89</v>
      </c>
      <c r="C79">
        <v>46</v>
      </c>
      <c r="D79" t="s">
        <v>15</v>
      </c>
      <c r="E79">
        <v>9</v>
      </c>
      <c r="F79" t="str">
        <f>VLOOKUP(patients[[#This Row],[DiagnosisID]],diagnoses[#All],2)</f>
        <v>Kidney Disease</v>
      </c>
      <c r="G79" s="1">
        <v>45733</v>
      </c>
      <c r="H79" s="1">
        <v>45740</v>
      </c>
      <c r="I79" s="2">
        <f>_xlfn.DAYS(patients[[#This Row],[DischargeDate]],patients[[#This Row],[AdmissionDate]])</f>
        <v>7</v>
      </c>
      <c r="J79">
        <v>1</v>
      </c>
      <c r="K79" t="str">
        <f>VLOOKUP(patients[[#This Row],[OutcomeID]],outcomes[],2)</f>
        <v>Recovered</v>
      </c>
      <c r="L79">
        <v>5600</v>
      </c>
      <c r="M79" t="str">
        <f>VLOOKUP(patients[[#This Row],[PatientID]],labs[[LabID]:[TestName]],3)</f>
        <v>Blood Pressure</v>
      </c>
      <c r="N79">
        <f>VLOOKUP(patients[[#This Row],[PatientID]],labs[],4)</f>
        <v>57.8</v>
      </c>
    </row>
    <row r="80" spans="1:14" x14ac:dyDescent="0.3">
      <c r="A80">
        <v>79</v>
      </c>
      <c r="B80" t="s">
        <v>90</v>
      </c>
      <c r="C80">
        <v>65</v>
      </c>
      <c r="D80" t="s">
        <v>11</v>
      </c>
      <c r="E80">
        <v>8</v>
      </c>
      <c r="F80" t="str">
        <f>VLOOKUP(patients[[#This Row],[DiagnosisID]],diagnoses[#All],2)</f>
        <v>Arthritis</v>
      </c>
      <c r="G80" s="1">
        <v>45666</v>
      </c>
      <c r="H80" s="1">
        <v>45798</v>
      </c>
      <c r="I80" s="2">
        <f>_xlfn.DAYS(patients[[#This Row],[DischargeDate]],patients[[#This Row],[AdmissionDate]])</f>
        <v>132</v>
      </c>
      <c r="J80">
        <v>3</v>
      </c>
      <c r="K80" t="str">
        <f>VLOOKUP(patients[[#This Row],[OutcomeID]],outcomes[],2)</f>
        <v>Deceased</v>
      </c>
      <c r="L80">
        <v>8783</v>
      </c>
      <c r="M80" t="str">
        <f>VLOOKUP(patients[[#This Row],[PatientID]],labs[[LabID]:[TestName]],3)</f>
        <v>Cholesterol</v>
      </c>
      <c r="N80">
        <f>VLOOKUP(patients[[#This Row],[PatientID]],labs[],4)</f>
        <v>212.9</v>
      </c>
    </row>
    <row r="81" spans="1:14" x14ac:dyDescent="0.3">
      <c r="A81">
        <v>80</v>
      </c>
      <c r="B81" t="s">
        <v>91</v>
      </c>
      <c r="C81">
        <v>79</v>
      </c>
      <c r="D81" t="s">
        <v>11</v>
      </c>
      <c r="E81">
        <v>10</v>
      </c>
      <c r="F81" t="str">
        <f>VLOOKUP(patients[[#This Row],[DiagnosisID]],diagnoses[#All],2)</f>
        <v>Liver Disease</v>
      </c>
      <c r="G81" s="1">
        <v>45731</v>
      </c>
      <c r="H81" s="1">
        <v>45804</v>
      </c>
      <c r="I81" s="2">
        <f>_xlfn.DAYS(patients[[#This Row],[DischargeDate]],patients[[#This Row],[AdmissionDate]])</f>
        <v>73</v>
      </c>
      <c r="J81">
        <v>3</v>
      </c>
      <c r="K81" t="str">
        <f>VLOOKUP(patients[[#This Row],[OutcomeID]],outcomes[],2)</f>
        <v>Deceased</v>
      </c>
      <c r="L81">
        <v>7034</v>
      </c>
      <c r="M81" t="str">
        <f>VLOOKUP(patients[[#This Row],[PatientID]],labs[[LabID]:[TestName]],3)</f>
        <v>Vitamin D</v>
      </c>
      <c r="N81">
        <f>VLOOKUP(patients[[#This Row],[PatientID]],labs[],4)</f>
        <v>142.1</v>
      </c>
    </row>
    <row r="82" spans="1:14" x14ac:dyDescent="0.3">
      <c r="A82">
        <v>81</v>
      </c>
      <c r="B82" t="s">
        <v>92</v>
      </c>
      <c r="C82">
        <v>69</v>
      </c>
      <c r="D82" t="s">
        <v>15</v>
      </c>
      <c r="E82">
        <v>7</v>
      </c>
      <c r="F82" t="str">
        <f>VLOOKUP(patients[[#This Row],[DiagnosisID]],diagnoses[#All],2)</f>
        <v>Cancer</v>
      </c>
      <c r="G82" s="1">
        <v>45802</v>
      </c>
      <c r="H82" s="1">
        <v>45811</v>
      </c>
      <c r="I82" s="2">
        <f>_xlfn.DAYS(patients[[#This Row],[DischargeDate]],patients[[#This Row],[AdmissionDate]])</f>
        <v>9</v>
      </c>
      <c r="J82">
        <v>2</v>
      </c>
      <c r="K82" t="str">
        <f>VLOOKUP(patients[[#This Row],[OutcomeID]],outcomes[],2)</f>
        <v>Complicated</v>
      </c>
      <c r="L82">
        <v>2954</v>
      </c>
      <c r="M82" t="str">
        <f>VLOOKUP(patients[[#This Row],[PatientID]],labs[[LabID]:[TestName]],3)</f>
        <v>Vitamin D</v>
      </c>
      <c r="N82">
        <f>VLOOKUP(patients[[#This Row],[PatientID]],labs[],4)</f>
        <v>266.10000000000002</v>
      </c>
    </row>
    <row r="83" spans="1:14" x14ac:dyDescent="0.3">
      <c r="A83">
        <v>82</v>
      </c>
      <c r="B83" t="s">
        <v>93</v>
      </c>
      <c r="C83">
        <v>33</v>
      </c>
      <c r="D83" t="s">
        <v>11</v>
      </c>
      <c r="E83">
        <v>9</v>
      </c>
      <c r="F83" t="str">
        <f>VLOOKUP(patients[[#This Row],[DiagnosisID]],diagnoses[#All],2)</f>
        <v>Kidney Disease</v>
      </c>
      <c r="G83" s="1">
        <v>45664</v>
      </c>
      <c r="H83" s="1">
        <v>45740</v>
      </c>
      <c r="I83" s="2">
        <f>_xlfn.DAYS(patients[[#This Row],[DischargeDate]],patients[[#This Row],[AdmissionDate]])</f>
        <v>76</v>
      </c>
      <c r="J83">
        <v>3</v>
      </c>
      <c r="K83" t="str">
        <f>VLOOKUP(patients[[#This Row],[OutcomeID]],outcomes[],2)</f>
        <v>Deceased</v>
      </c>
      <c r="L83">
        <v>6971</v>
      </c>
      <c r="M83" t="str">
        <f>VLOOKUP(patients[[#This Row],[PatientID]],labs[[LabID]:[TestName]],3)</f>
        <v>Vitamin D</v>
      </c>
      <c r="N83">
        <f>VLOOKUP(patients[[#This Row],[PatientID]],labs[],4)</f>
        <v>168.3</v>
      </c>
    </row>
    <row r="84" spans="1:14" x14ac:dyDescent="0.3">
      <c r="A84">
        <v>83</v>
      </c>
      <c r="B84" t="s">
        <v>94</v>
      </c>
      <c r="C84">
        <v>31</v>
      </c>
      <c r="D84" t="s">
        <v>11</v>
      </c>
      <c r="E84">
        <v>4</v>
      </c>
      <c r="F84" t="str">
        <f>VLOOKUP(patients[[#This Row],[DiagnosisID]],diagnoses[#All],2)</f>
        <v>Asthma</v>
      </c>
      <c r="G84" s="1">
        <v>45831</v>
      </c>
      <c r="H84" s="1">
        <v>45833</v>
      </c>
      <c r="I84" s="2">
        <f>_xlfn.DAYS(patients[[#This Row],[DischargeDate]],patients[[#This Row],[AdmissionDate]])</f>
        <v>2</v>
      </c>
      <c r="J84">
        <v>3</v>
      </c>
      <c r="K84" t="str">
        <f>VLOOKUP(patients[[#This Row],[OutcomeID]],outcomes[],2)</f>
        <v>Deceased</v>
      </c>
      <c r="L84">
        <v>6858</v>
      </c>
      <c r="M84" t="str">
        <f>VLOOKUP(patients[[#This Row],[PatientID]],labs[[LabID]:[TestName]],3)</f>
        <v>Blood Pressure</v>
      </c>
      <c r="N84">
        <f>VLOOKUP(patients[[#This Row],[PatientID]],labs[],4)</f>
        <v>292</v>
      </c>
    </row>
    <row r="85" spans="1:14" x14ac:dyDescent="0.3">
      <c r="A85">
        <v>84</v>
      </c>
      <c r="B85" t="s">
        <v>95</v>
      </c>
      <c r="C85">
        <v>35</v>
      </c>
      <c r="D85" t="s">
        <v>11</v>
      </c>
      <c r="E85">
        <v>4</v>
      </c>
      <c r="F85" t="str">
        <f>VLOOKUP(patients[[#This Row],[DiagnosisID]],diagnoses[#All],2)</f>
        <v>Asthma</v>
      </c>
      <c r="G85" s="1">
        <v>45798</v>
      </c>
      <c r="H85" s="1">
        <v>45804</v>
      </c>
      <c r="I85" s="2">
        <f>_xlfn.DAYS(patients[[#This Row],[DischargeDate]],patients[[#This Row],[AdmissionDate]])</f>
        <v>6</v>
      </c>
      <c r="J85">
        <v>2</v>
      </c>
      <c r="K85" t="str">
        <f>VLOOKUP(patients[[#This Row],[OutcomeID]],outcomes[],2)</f>
        <v>Complicated</v>
      </c>
      <c r="L85">
        <v>7298</v>
      </c>
      <c r="M85" t="str">
        <f>VLOOKUP(patients[[#This Row],[PatientID]],labs[[LabID]:[TestName]],3)</f>
        <v>Hemoglobin</v>
      </c>
      <c r="N85">
        <f>VLOOKUP(patients[[#This Row],[PatientID]],labs[],4)</f>
        <v>96.4</v>
      </c>
    </row>
    <row r="86" spans="1:14" x14ac:dyDescent="0.3">
      <c r="A86">
        <v>85</v>
      </c>
      <c r="B86" t="s">
        <v>96</v>
      </c>
      <c r="C86">
        <v>83</v>
      </c>
      <c r="D86" t="s">
        <v>15</v>
      </c>
      <c r="E86">
        <v>1</v>
      </c>
      <c r="F86" t="str">
        <f>VLOOKUP(patients[[#This Row],[DiagnosisID]],diagnoses[#All],2)</f>
        <v>Hypertension</v>
      </c>
      <c r="G86" s="1">
        <v>45825</v>
      </c>
      <c r="H86" s="1">
        <v>45831</v>
      </c>
      <c r="I86" s="2">
        <f>_xlfn.DAYS(patients[[#This Row],[DischargeDate]],patients[[#This Row],[AdmissionDate]])</f>
        <v>6</v>
      </c>
      <c r="J86">
        <v>3</v>
      </c>
      <c r="K86" t="str">
        <f>VLOOKUP(patients[[#This Row],[OutcomeID]],outcomes[],2)</f>
        <v>Deceased</v>
      </c>
      <c r="L86">
        <v>3205</v>
      </c>
      <c r="M86" t="str">
        <f>VLOOKUP(patients[[#This Row],[PatientID]],labs[[LabID]:[TestName]],3)</f>
        <v>Creatinine</v>
      </c>
      <c r="N86">
        <f>VLOOKUP(patients[[#This Row],[PatientID]],labs[],4)</f>
        <v>267.2</v>
      </c>
    </row>
    <row r="87" spans="1:14" x14ac:dyDescent="0.3">
      <c r="A87">
        <v>86</v>
      </c>
      <c r="B87" t="s">
        <v>97</v>
      </c>
      <c r="C87">
        <v>71</v>
      </c>
      <c r="D87" t="s">
        <v>15</v>
      </c>
      <c r="E87">
        <v>8</v>
      </c>
      <c r="F87" t="str">
        <f>VLOOKUP(patients[[#This Row],[DiagnosisID]],diagnoses[#All],2)</f>
        <v>Arthritis</v>
      </c>
      <c r="G87" s="1">
        <v>45827</v>
      </c>
      <c r="H87" s="1">
        <v>45837</v>
      </c>
      <c r="I87" s="2">
        <f>_xlfn.DAYS(patients[[#This Row],[DischargeDate]],patients[[#This Row],[AdmissionDate]])</f>
        <v>10</v>
      </c>
      <c r="J87">
        <v>1</v>
      </c>
      <c r="K87" t="str">
        <f>VLOOKUP(patients[[#This Row],[OutcomeID]],outcomes[],2)</f>
        <v>Recovered</v>
      </c>
      <c r="L87">
        <v>6759</v>
      </c>
      <c r="M87" t="str">
        <f>VLOOKUP(patients[[#This Row],[PatientID]],labs[[LabID]:[TestName]],3)</f>
        <v>Creatinine</v>
      </c>
      <c r="N87">
        <f>VLOOKUP(patients[[#This Row],[PatientID]],labs[],4)</f>
        <v>244.1</v>
      </c>
    </row>
    <row r="88" spans="1:14" x14ac:dyDescent="0.3">
      <c r="A88">
        <v>87</v>
      </c>
      <c r="B88" t="s">
        <v>98</v>
      </c>
      <c r="C88">
        <v>33</v>
      </c>
      <c r="D88" t="s">
        <v>11</v>
      </c>
      <c r="E88">
        <v>3</v>
      </c>
      <c r="F88" t="str">
        <f>VLOOKUP(patients[[#This Row],[DiagnosisID]],diagnoses[#All],2)</f>
        <v>Heart Disease</v>
      </c>
      <c r="G88" s="1">
        <v>45794</v>
      </c>
      <c r="H88" s="1">
        <v>45799</v>
      </c>
      <c r="I88" s="2">
        <f>_xlfn.DAYS(patients[[#This Row],[DischargeDate]],patients[[#This Row],[AdmissionDate]])</f>
        <v>5</v>
      </c>
      <c r="J88">
        <v>1</v>
      </c>
      <c r="K88" t="str">
        <f>VLOOKUP(patients[[#This Row],[OutcomeID]],outcomes[],2)</f>
        <v>Recovered</v>
      </c>
      <c r="L88">
        <v>6120</v>
      </c>
      <c r="M88" t="str">
        <f>VLOOKUP(patients[[#This Row],[PatientID]],labs[[LabID]:[TestName]],3)</f>
        <v>Blood Pressure</v>
      </c>
      <c r="N88">
        <f>VLOOKUP(patients[[#This Row],[PatientID]],labs[],4)</f>
        <v>242.7</v>
      </c>
    </row>
    <row r="89" spans="1:14" x14ac:dyDescent="0.3">
      <c r="A89">
        <v>88</v>
      </c>
      <c r="B89" t="s">
        <v>99</v>
      </c>
      <c r="C89">
        <v>83</v>
      </c>
      <c r="D89" t="s">
        <v>15</v>
      </c>
      <c r="E89">
        <v>7</v>
      </c>
      <c r="F89" t="str">
        <f>VLOOKUP(patients[[#This Row],[DiagnosisID]],diagnoses[#All],2)</f>
        <v>Cancer</v>
      </c>
      <c r="G89" s="1">
        <v>45835</v>
      </c>
      <c r="H89" s="1">
        <v>45836</v>
      </c>
      <c r="I89" s="2">
        <f>_xlfn.DAYS(patients[[#This Row],[DischargeDate]],patients[[#This Row],[AdmissionDate]])</f>
        <v>1</v>
      </c>
      <c r="J89">
        <v>2</v>
      </c>
      <c r="K89" t="str">
        <f>VLOOKUP(patients[[#This Row],[OutcomeID]],outcomes[],2)</f>
        <v>Complicated</v>
      </c>
      <c r="L89">
        <v>3990</v>
      </c>
      <c r="M89" t="str">
        <f>VLOOKUP(patients[[#This Row],[PatientID]],labs[[LabID]:[TestName]],3)</f>
        <v>Creatinine</v>
      </c>
      <c r="N89">
        <f>VLOOKUP(patients[[#This Row],[PatientID]],labs[],4)</f>
        <v>261.2</v>
      </c>
    </row>
    <row r="90" spans="1:14" x14ac:dyDescent="0.3">
      <c r="A90">
        <v>89</v>
      </c>
      <c r="B90" t="s">
        <v>100</v>
      </c>
      <c r="C90">
        <v>58</v>
      </c>
      <c r="D90" t="s">
        <v>15</v>
      </c>
      <c r="E90">
        <v>2</v>
      </c>
      <c r="F90" t="str">
        <f>VLOOKUP(patients[[#This Row],[DiagnosisID]],diagnoses[#All],2)</f>
        <v>Diabetes</v>
      </c>
      <c r="G90" s="1">
        <v>45684</v>
      </c>
      <c r="H90" s="1">
        <v>45792</v>
      </c>
      <c r="I90" s="2">
        <f>_xlfn.DAYS(patients[[#This Row],[DischargeDate]],patients[[#This Row],[AdmissionDate]])</f>
        <v>108</v>
      </c>
      <c r="J90">
        <v>2</v>
      </c>
      <c r="K90" t="str">
        <f>VLOOKUP(patients[[#This Row],[OutcomeID]],outcomes[],2)</f>
        <v>Complicated</v>
      </c>
      <c r="L90">
        <v>7299</v>
      </c>
      <c r="M90" t="str">
        <f>VLOOKUP(patients[[#This Row],[PatientID]],labs[[LabID]:[TestName]],3)</f>
        <v>Vitamin D</v>
      </c>
      <c r="N90">
        <f>VLOOKUP(patients[[#This Row],[PatientID]],labs[],4)</f>
        <v>240.3</v>
      </c>
    </row>
    <row r="91" spans="1:14" x14ac:dyDescent="0.3">
      <c r="A91">
        <v>90</v>
      </c>
      <c r="B91" t="s">
        <v>101</v>
      </c>
      <c r="C91">
        <v>47</v>
      </c>
      <c r="D91" t="s">
        <v>15</v>
      </c>
      <c r="E91">
        <v>2</v>
      </c>
      <c r="F91" t="str">
        <f>VLOOKUP(patients[[#This Row],[DiagnosisID]],diagnoses[#All],2)</f>
        <v>Diabetes</v>
      </c>
      <c r="G91" s="1">
        <v>45779</v>
      </c>
      <c r="H91" s="1">
        <v>45787</v>
      </c>
      <c r="I91" s="2">
        <f>_xlfn.DAYS(patients[[#This Row],[DischargeDate]],patients[[#This Row],[AdmissionDate]])</f>
        <v>8</v>
      </c>
      <c r="J91">
        <v>2</v>
      </c>
      <c r="K91" t="str">
        <f>VLOOKUP(patients[[#This Row],[OutcomeID]],outcomes[],2)</f>
        <v>Complicated</v>
      </c>
      <c r="L91">
        <v>6805</v>
      </c>
      <c r="M91" t="str">
        <f>VLOOKUP(patients[[#This Row],[PatientID]],labs[[LabID]:[TestName]],3)</f>
        <v>Cholesterol</v>
      </c>
      <c r="N91">
        <f>VLOOKUP(patients[[#This Row],[PatientID]],labs[],4)</f>
        <v>206.6</v>
      </c>
    </row>
    <row r="92" spans="1:14" x14ac:dyDescent="0.3">
      <c r="A92">
        <v>91</v>
      </c>
      <c r="B92" t="s">
        <v>102</v>
      </c>
      <c r="C92">
        <v>55</v>
      </c>
      <c r="D92" t="s">
        <v>15</v>
      </c>
      <c r="E92">
        <v>7</v>
      </c>
      <c r="F92" t="str">
        <f>VLOOKUP(patients[[#This Row],[DiagnosisID]],diagnoses[#All],2)</f>
        <v>Cancer</v>
      </c>
      <c r="G92" s="1">
        <v>45662</v>
      </c>
      <c r="H92" s="1">
        <v>45781</v>
      </c>
      <c r="I92" s="2">
        <f>_xlfn.DAYS(patients[[#This Row],[DischargeDate]],patients[[#This Row],[AdmissionDate]])</f>
        <v>119</v>
      </c>
      <c r="J92">
        <v>1</v>
      </c>
      <c r="K92" t="str">
        <f>VLOOKUP(patients[[#This Row],[OutcomeID]],outcomes[],2)</f>
        <v>Recovered</v>
      </c>
      <c r="L92">
        <v>5572</v>
      </c>
      <c r="M92" t="str">
        <f>VLOOKUP(patients[[#This Row],[PatientID]],labs[[LabID]:[TestName]],3)</f>
        <v>Blood Sugar</v>
      </c>
      <c r="N92">
        <f>VLOOKUP(patients[[#This Row],[PatientID]],labs[],4)</f>
        <v>82.8</v>
      </c>
    </row>
    <row r="93" spans="1:14" x14ac:dyDescent="0.3">
      <c r="A93">
        <v>92</v>
      </c>
      <c r="B93" t="s">
        <v>103</v>
      </c>
      <c r="C93">
        <v>73</v>
      </c>
      <c r="D93" t="s">
        <v>15</v>
      </c>
      <c r="E93">
        <v>6</v>
      </c>
      <c r="F93" t="str">
        <f>VLOOKUP(patients[[#This Row],[DiagnosisID]],diagnoses[#All],2)</f>
        <v>COPD</v>
      </c>
      <c r="G93" s="1">
        <v>45686</v>
      </c>
      <c r="H93" s="1">
        <v>45777</v>
      </c>
      <c r="I93" s="2">
        <f>_xlfn.DAYS(patients[[#This Row],[DischargeDate]],patients[[#This Row],[AdmissionDate]])</f>
        <v>91</v>
      </c>
      <c r="J93">
        <v>3</v>
      </c>
      <c r="K93" t="str">
        <f>VLOOKUP(patients[[#This Row],[OutcomeID]],outcomes[],2)</f>
        <v>Deceased</v>
      </c>
      <c r="L93">
        <v>7975</v>
      </c>
      <c r="M93" t="str">
        <f>VLOOKUP(patients[[#This Row],[PatientID]],labs[[LabID]:[TestName]],3)</f>
        <v>Hemoglobin</v>
      </c>
      <c r="N93">
        <f>VLOOKUP(patients[[#This Row],[PatientID]],labs[],4)</f>
        <v>58.1</v>
      </c>
    </row>
    <row r="94" spans="1:14" x14ac:dyDescent="0.3">
      <c r="A94">
        <v>93</v>
      </c>
      <c r="B94" t="s">
        <v>104</v>
      </c>
      <c r="C94">
        <v>63</v>
      </c>
      <c r="D94" t="s">
        <v>11</v>
      </c>
      <c r="E94">
        <v>3</v>
      </c>
      <c r="F94" t="str">
        <f>VLOOKUP(patients[[#This Row],[DiagnosisID]],diagnoses[#All],2)</f>
        <v>Heart Disease</v>
      </c>
      <c r="G94" s="1">
        <v>45822</v>
      </c>
      <c r="H94" s="1">
        <v>45831</v>
      </c>
      <c r="I94" s="2">
        <f>_xlfn.DAYS(patients[[#This Row],[DischargeDate]],patients[[#This Row],[AdmissionDate]])</f>
        <v>9</v>
      </c>
      <c r="J94">
        <v>1</v>
      </c>
      <c r="K94" t="str">
        <f>VLOOKUP(patients[[#This Row],[OutcomeID]],outcomes[],2)</f>
        <v>Recovered</v>
      </c>
      <c r="L94">
        <v>7280</v>
      </c>
      <c r="M94" t="str">
        <f>VLOOKUP(patients[[#This Row],[PatientID]],labs[[LabID]:[TestName]],3)</f>
        <v>Hemoglobin</v>
      </c>
      <c r="N94">
        <f>VLOOKUP(patients[[#This Row],[PatientID]],labs[],4)</f>
        <v>280.2</v>
      </c>
    </row>
    <row r="95" spans="1:14" x14ac:dyDescent="0.3">
      <c r="A95">
        <v>94</v>
      </c>
      <c r="B95" t="s">
        <v>105</v>
      </c>
      <c r="C95">
        <v>39</v>
      </c>
      <c r="D95" t="s">
        <v>15</v>
      </c>
      <c r="E95">
        <v>9</v>
      </c>
      <c r="F95" t="str">
        <f>VLOOKUP(patients[[#This Row],[DiagnosisID]],diagnoses[#All],2)</f>
        <v>Kidney Disease</v>
      </c>
      <c r="G95" s="1">
        <v>45823</v>
      </c>
      <c r="H95" s="1">
        <v>45825</v>
      </c>
      <c r="I95" s="2">
        <f>_xlfn.DAYS(patients[[#This Row],[DischargeDate]],patients[[#This Row],[AdmissionDate]])</f>
        <v>2</v>
      </c>
      <c r="J95">
        <v>2</v>
      </c>
      <c r="K95" t="str">
        <f>VLOOKUP(patients[[#This Row],[OutcomeID]],outcomes[],2)</f>
        <v>Complicated</v>
      </c>
      <c r="L95">
        <v>8320</v>
      </c>
      <c r="M95" t="str">
        <f>VLOOKUP(patients[[#This Row],[PatientID]],labs[[LabID]:[TestName]],3)</f>
        <v>Blood Pressure</v>
      </c>
      <c r="N95">
        <f>VLOOKUP(patients[[#This Row],[PatientID]],labs[],4)</f>
        <v>204.2</v>
      </c>
    </row>
    <row r="96" spans="1:14" x14ac:dyDescent="0.3">
      <c r="A96">
        <v>95</v>
      </c>
      <c r="B96" t="s">
        <v>106</v>
      </c>
      <c r="C96">
        <v>65</v>
      </c>
      <c r="D96" t="s">
        <v>11</v>
      </c>
      <c r="E96">
        <v>10</v>
      </c>
      <c r="F96" t="str">
        <f>VLOOKUP(patients[[#This Row],[DiagnosisID]],diagnoses[#All],2)</f>
        <v>Liver Disease</v>
      </c>
      <c r="G96" s="1">
        <v>45740</v>
      </c>
      <c r="H96" s="1">
        <v>45761</v>
      </c>
      <c r="I96" s="2">
        <f>_xlfn.DAYS(patients[[#This Row],[DischargeDate]],patients[[#This Row],[AdmissionDate]])</f>
        <v>21</v>
      </c>
      <c r="J96">
        <v>3</v>
      </c>
      <c r="K96" t="str">
        <f>VLOOKUP(patients[[#This Row],[OutcomeID]],outcomes[],2)</f>
        <v>Deceased</v>
      </c>
      <c r="L96">
        <v>6380</v>
      </c>
      <c r="M96" t="str">
        <f>VLOOKUP(patients[[#This Row],[PatientID]],labs[[LabID]:[TestName]],3)</f>
        <v>Hemoglobin</v>
      </c>
      <c r="N96">
        <f>VLOOKUP(patients[[#This Row],[PatientID]],labs[],4)</f>
        <v>249.1</v>
      </c>
    </row>
    <row r="97" spans="1:14" x14ac:dyDescent="0.3">
      <c r="A97">
        <v>96</v>
      </c>
      <c r="B97" t="s">
        <v>107</v>
      </c>
      <c r="C97">
        <v>43</v>
      </c>
      <c r="D97" t="s">
        <v>11</v>
      </c>
      <c r="E97">
        <v>6</v>
      </c>
      <c r="F97" t="str">
        <f>VLOOKUP(patients[[#This Row],[DiagnosisID]],diagnoses[#All],2)</f>
        <v>COPD</v>
      </c>
      <c r="G97" s="1">
        <v>45793</v>
      </c>
      <c r="H97" s="1">
        <v>45800</v>
      </c>
      <c r="I97" s="2">
        <f>_xlfn.DAYS(patients[[#This Row],[DischargeDate]],patients[[#This Row],[AdmissionDate]])</f>
        <v>7</v>
      </c>
      <c r="J97">
        <v>3</v>
      </c>
      <c r="K97" t="str">
        <f>VLOOKUP(patients[[#This Row],[OutcomeID]],outcomes[],2)</f>
        <v>Deceased</v>
      </c>
      <c r="L97">
        <v>6158</v>
      </c>
      <c r="M97" t="str">
        <f>VLOOKUP(patients[[#This Row],[PatientID]],labs[[LabID]:[TestName]],3)</f>
        <v>Vitamin D</v>
      </c>
      <c r="N97">
        <f>VLOOKUP(patients[[#This Row],[PatientID]],labs[],4)</f>
        <v>170.4</v>
      </c>
    </row>
    <row r="98" spans="1:14" x14ac:dyDescent="0.3">
      <c r="A98">
        <v>97</v>
      </c>
      <c r="B98" t="s">
        <v>108</v>
      </c>
      <c r="C98">
        <v>60</v>
      </c>
      <c r="D98" t="s">
        <v>15</v>
      </c>
      <c r="E98">
        <v>10</v>
      </c>
      <c r="F98" t="str">
        <f>VLOOKUP(patients[[#This Row],[DiagnosisID]],diagnoses[#All],2)</f>
        <v>Liver Disease</v>
      </c>
      <c r="G98" s="1">
        <v>45766</v>
      </c>
      <c r="H98" s="1">
        <v>45810</v>
      </c>
      <c r="I98" s="2">
        <f>_xlfn.DAYS(patients[[#This Row],[DischargeDate]],patients[[#This Row],[AdmissionDate]])</f>
        <v>44</v>
      </c>
      <c r="J98">
        <v>1</v>
      </c>
      <c r="K98" t="str">
        <f>VLOOKUP(patients[[#This Row],[OutcomeID]],outcomes[],2)</f>
        <v>Recovered</v>
      </c>
      <c r="L98">
        <v>7098</v>
      </c>
      <c r="M98" t="str">
        <f>VLOOKUP(patients[[#This Row],[PatientID]],labs[[LabID]:[TestName]],3)</f>
        <v>Creatinine</v>
      </c>
      <c r="N98">
        <f>VLOOKUP(patients[[#This Row],[PatientID]],labs[],4)</f>
        <v>79.3</v>
      </c>
    </row>
    <row r="99" spans="1:14" x14ac:dyDescent="0.3">
      <c r="A99">
        <v>98</v>
      </c>
      <c r="B99" t="s">
        <v>109</v>
      </c>
      <c r="C99">
        <v>77</v>
      </c>
      <c r="D99" t="s">
        <v>11</v>
      </c>
      <c r="E99">
        <v>10</v>
      </c>
      <c r="F99" t="str">
        <f>VLOOKUP(patients[[#This Row],[DiagnosisID]],diagnoses[#All],2)</f>
        <v>Liver Disease</v>
      </c>
      <c r="G99" s="1">
        <v>45722</v>
      </c>
      <c r="H99" s="1">
        <v>45724</v>
      </c>
      <c r="I99" s="2">
        <f>_xlfn.DAYS(patients[[#This Row],[DischargeDate]],patients[[#This Row],[AdmissionDate]])</f>
        <v>2</v>
      </c>
      <c r="J99">
        <v>2</v>
      </c>
      <c r="K99" t="str">
        <f>VLOOKUP(patients[[#This Row],[OutcomeID]],outcomes[],2)</f>
        <v>Complicated</v>
      </c>
      <c r="L99">
        <v>6757</v>
      </c>
      <c r="M99" t="str">
        <f>VLOOKUP(patients[[#This Row],[PatientID]],labs[[LabID]:[TestName]],3)</f>
        <v>Vitamin D</v>
      </c>
      <c r="N99">
        <f>VLOOKUP(patients[[#This Row],[PatientID]],labs[],4)</f>
        <v>81.3</v>
      </c>
    </row>
    <row r="100" spans="1:14" x14ac:dyDescent="0.3">
      <c r="A100">
        <v>99</v>
      </c>
      <c r="B100" t="s">
        <v>110</v>
      </c>
      <c r="C100">
        <v>44</v>
      </c>
      <c r="D100" t="s">
        <v>11</v>
      </c>
      <c r="E100">
        <v>6</v>
      </c>
      <c r="F100" t="str">
        <f>VLOOKUP(patients[[#This Row],[DiagnosisID]],diagnoses[#All],2)</f>
        <v>COPD</v>
      </c>
      <c r="G100" s="1">
        <v>45743</v>
      </c>
      <c r="H100" s="1">
        <v>45798</v>
      </c>
      <c r="I100" s="2">
        <f>_xlfn.DAYS(patients[[#This Row],[DischargeDate]],patients[[#This Row],[AdmissionDate]])</f>
        <v>55</v>
      </c>
      <c r="J100">
        <v>1</v>
      </c>
      <c r="K100" t="str">
        <f>VLOOKUP(patients[[#This Row],[OutcomeID]],outcomes[],2)</f>
        <v>Recovered</v>
      </c>
      <c r="L100">
        <v>4713</v>
      </c>
      <c r="M100" t="str">
        <f>VLOOKUP(patients[[#This Row],[PatientID]],labs[[LabID]:[TestName]],3)</f>
        <v>Blood Pressure</v>
      </c>
      <c r="N100">
        <f>VLOOKUP(patients[[#This Row],[PatientID]],labs[],4)</f>
        <v>221.4</v>
      </c>
    </row>
    <row r="101" spans="1:14" x14ac:dyDescent="0.3">
      <c r="A101">
        <v>100</v>
      </c>
      <c r="B101" t="s">
        <v>111</v>
      </c>
      <c r="C101">
        <v>37</v>
      </c>
      <c r="D101" t="s">
        <v>11</v>
      </c>
      <c r="E101">
        <v>1</v>
      </c>
      <c r="F101" t="str">
        <f>VLOOKUP(patients[[#This Row],[DiagnosisID]],diagnoses[#All],2)</f>
        <v>Hypertension</v>
      </c>
      <c r="G101" s="1">
        <v>45802</v>
      </c>
      <c r="H101" s="1">
        <v>45811</v>
      </c>
      <c r="I101" s="2">
        <f>_xlfn.DAYS(patients[[#This Row],[DischargeDate]],patients[[#This Row],[AdmissionDate]])</f>
        <v>9</v>
      </c>
      <c r="J101">
        <v>3</v>
      </c>
      <c r="K101" t="str">
        <f>VLOOKUP(patients[[#This Row],[OutcomeID]],outcomes[],2)</f>
        <v>Deceased</v>
      </c>
      <c r="L101">
        <v>4203</v>
      </c>
      <c r="M101" t="str">
        <f>VLOOKUP(patients[[#This Row],[PatientID]],labs[[LabID]:[TestName]],3)</f>
        <v>Vitamin D</v>
      </c>
      <c r="N101">
        <f>VLOOKUP(patients[[#This Row],[PatientID]],labs[],4)</f>
        <v>157.6</v>
      </c>
    </row>
    <row r="102" spans="1:14" x14ac:dyDescent="0.3">
      <c r="A102">
        <v>101</v>
      </c>
      <c r="B102" t="s">
        <v>112</v>
      </c>
      <c r="C102">
        <v>43</v>
      </c>
      <c r="D102" t="s">
        <v>15</v>
      </c>
      <c r="E102">
        <v>4</v>
      </c>
      <c r="F102" t="str">
        <f>VLOOKUP(patients[[#This Row],[DiagnosisID]],diagnoses[#All],2)</f>
        <v>Asthma</v>
      </c>
      <c r="G102" s="1">
        <v>45728</v>
      </c>
      <c r="H102" s="1">
        <v>45798</v>
      </c>
      <c r="I102" s="2">
        <f>_xlfn.DAYS(patients[[#This Row],[DischargeDate]],patients[[#This Row],[AdmissionDate]])</f>
        <v>70</v>
      </c>
      <c r="J102">
        <v>1</v>
      </c>
      <c r="K102" t="str">
        <f>VLOOKUP(patients[[#This Row],[OutcomeID]],outcomes[],2)</f>
        <v>Recovered</v>
      </c>
      <c r="L102">
        <v>7588</v>
      </c>
      <c r="M102" t="str">
        <f>VLOOKUP(patients[[#This Row],[PatientID]],labs[[LabID]:[TestName]],3)</f>
        <v>Creatinine</v>
      </c>
      <c r="N102">
        <f>VLOOKUP(patients[[#This Row],[PatientID]],labs[],4)</f>
        <v>100.1</v>
      </c>
    </row>
    <row r="103" spans="1:14" x14ac:dyDescent="0.3">
      <c r="A103">
        <v>102</v>
      </c>
      <c r="B103" t="s">
        <v>113</v>
      </c>
      <c r="C103">
        <v>52</v>
      </c>
      <c r="D103" t="s">
        <v>15</v>
      </c>
      <c r="E103">
        <v>10</v>
      </c>
      <c r="F103" t="str">
        <f>VLOOKUP(patients[[#This Row],[DiagnosisID]],diagnoses[#All],2)</f>
        <v>Liver Disease</v>
      </c>
      <c r="G103" s="1">
        <v>45702</v>
      </c>
      <c r="H103" s="1">
        <v>45707</v>
      </c>
      <c r="I103" s="2">
        <f>_xlfn.DAYS(patients[[#This Row],[DischargeDate]],patients[[#This Row],[AdmissionDate]])</f>
        <v>5</v>
      </c>
      <c r="J103">
        <v>1</v>
      </c>
      <c r="K103" t="str">
        <f>VLOOKUP(patients[[#This Row],[OutcomeID]],outcomes[],2)</f>
        <v>Recovered</v>
      </c>
      <c r="L103">
        <v>5120</v>
      </c>
      <c r="M103" t="str">
        <f>VLOOKUP(patients[[#This Row],[PatientID]],labs[[LabID]:[TestName]],3)</f>
        <v>Cholesterol</v>
      </c>
      <c r="N103">
        <f>VLOOKUP(patients[[#This Row],[PatientID]],labs[],4)</f>
        <v>172.9</v>
      </c>
    </row>
    <row r="104" spans="1:14" x14ac:dyDescent="0.3">
      <c r="A104">
        <v>103</v>
      </c>
      <c r="B104" t="s">
        <v>114</v>
      </c>
      <c r="C104">
        <v>89</v>
      </c>
      <c r="D104" t="s">
        <v>11</v>
      </c>
      <c r="E104">
        <v>6</v>
      </c>
      <c r="F104" t="str">
        <f>VLOOKUP(patients[[#This Row],[DiagnosisID]],diagnoses[#All],2)</f>
        <v>COPD</v>
      </c>
      <c r="G104" s="1">
        <v>45789</v>
      </c>
      <c r="H104" s="1">
        <v>45799</v>
      </c>
      <c r="I104" s="2">
        <f>_xlfn.DAYS(patients[[#This Row],[DischargeDate]],patients[[#This Row],[AdmissionDate]])</f>
        <v>10</v>
      </c>
      <c r="J104">
        <v>2</v>
      </c>
      <c r="K104" t="str">
        <f>VLOOKUP(patients[[#This Row],[OutcomeID]],outcomes[],2)</f>
        <v>Complicated</v>
      </c>
      <c r="L104">
        <v>2966</v>
      </c>
      <c r="M104" t="str">
        <f>VLOOKUP(patients[[#This Row],[PatientID]],labs[[LabID]:[TestName]],3)</f>
        <v>Blood Pressure</v>
      </c>
      <c r="N104">
        <f>VLOOKUP(patients[[#This Row],[PatientID]],labs[],4)</f>
        <v>66.099999999999994</v>
      </c>
    </row>
    <row r="105" spans="1:14" x14ac:dyDescent="0.3">
      <c r="A105">
        <v>104</v>
      </c>
      <c r="B105" t="s">
        <v>115</v>
      </c>
      <c r="C105">
        <v>86</v>
      </c>
      <c r="D105" t="s">
        <v>15</v>
      </c>
      <c r="E105">
        <v>6</v>
      </c>
      <c r="F105" t="str">
        <f>VLOOKUP(patients[[#This Row],[DiagnosisID]],diagnoses[#All],2)</f>
        <v>COPD</v>
      </c>
      <c r="G105" s="1">
        <v>45693</v>
      </c>
      <c r="H105" s="1">
        <v>45821</v>
      </c>
      <c r="I105" s="2">
        <f>_xlfn.DAYS(patients[[#This Row],[DischargeDate]],patients[[#This Row],[AdmissionDate]])</f>
        <v>128</v>
      </c>
      <c r="J105">
        <v>2</v>
      </c>
      <c r="K105" t="str">
        <f>VLOOKUP(patients[[#This Row],[OutcomeID]],outcomes[],2)</f>
        <v>Complicated</v>
      </c>
      <c r="L105">
        <v>6944</v>
      </c>
      <c r="M105" t="str">
        <f>VLOOKUP(patients[[#This Row],[PatientID]],labs[[LabID]:[TestName]],3)</f>
        <v>Cholesterol</v>
      </c>
      <c r="N105">
        <f>VLOOKUP(patients[[#This Row],[PatientID]],labs[],4)</f>
        <v>195.5</v>
      </c>
    </row>
    <row r="106" spans="1:14" x14ac:dyDescent="0.3">
      <c r="A106">
        <v>105</v>
      </c>
      <c r="B106" t="s">
        <v>116</v>
      </c>
      <c r="C106">
        <v>69</v>
      </c>
      <c r="D106" t="s">
        <v>15</v>
      </c>
      <c r="E106">
        <v>5</v>
      </c>
      <c r="F106" t="str">
        <f>VLOOKUP(patients[[#This Row],[DiagnosisID]],diagnoses[#All],2)</f>
        <v>Stroke</v>
      </c>
      <c r="G106" s="1">
        <v>45727</v>
      </c>
      <c r="H106" s="1">
        <v>45759</v>
      </c>
      <c r="I106" s="2">
        <f>_xlfn.DAYS(patients[[#This Row],[DischargeDate]],patients[[#This Row],[AdmissionDate]])</f>
        <v>32</v>
      </c>
      <c r="J106">
        <v>3</v>
      </c>
      <c r="K106" t="str">
        <f>VLOOKUP(patients[[#This Row],[OutcomeID]],outcomes[],2)</f>
        <v>Deceased</v>
      </c>
      <c r="L106">
        <v>7203</v>
      </c>
      <c r="M106" t="str">
        <f>VLOOKUP(patients[[#This Row],[PatientID]],labs[[LabID]:[TestName]],3)</f>
        <v>Blood Sugar</v>
      </c>
      <c r="N106">
        <f>VLOOKUP(patients[[#This Row],[PatientID]],labs[],4)</f>
        <v>117.2</v>
      </c>
    </row>
    <row r="107" spans="1:14" x14ac:dyDescent="0.3">
      <c r="A107">
        <v>106</v>
      </c>
      <c r="B107" t="s">
        <v>117</v>
      </c>
      <c r="C107">
        <v>50</v>
      </c>
      <c r="D107" t="s">
        <v>15</v>
      </c>
      <c r="E107">
        <v>1</v>
      </c>
      <c r="F107" t="str">
        <f>VLOOKUP(patients[[#This Row],[DiagnosisID]],diagnoses[#All],2)</f>
        <v>Hypertension</v>
      </c>
      <c r="G107" s="1">
        <v>45816</v>
      </c>
      <c r="H107" s="1">
        <v>45826</v>
      </c>
      <c r="I107" s="2">
        <f>_xlfn.DAYS(patients[[#This Row],[DischargeDate]],patients[[#This Row],[AdmissionDate]])</f>
        <v>10</v>
      </c>
      <c r="J107">
        <v>1</v>
      </c>
      <c r="K107" t="str">
        <f>VLOOKUP(patients[[#This Row],[OutcomeID]],outcomes[],2)</f>
        <v>Recovered</v>
      </c>
      <c r="L107">
        <v>5432</v>
      </c>
      <c r="M107" t="str">
        <f>VLOOKUP(patients[[#This Row],[PatientID]],labs[[LabID]:[TestName]],3)</f>
        <v>Cholesterol</v>
      </c>
      <c r="N107">
        <f>VLOOKUP(patients[[#This Row],[PatientID]],labs[],4)</f>
        <v>249.4</v>
      </c>
    </row>
    <row r="108" spans="1:14" x14ac:dyDescent="0.3">
      <c r="A108">
        <v>107</v>
      </c>
      <c r="B108" t="s">
        <v>118</v>
      </c>
      <c r="C108">
        <v>45</v>
      </c>
      <c r="D108" t="s">
        <v>15</v>
      </c>
      <c r="E108">
        <v>8</v>
      </c>
      <c r="F108" t="str">
        <f>VLOOKUP(patients[[#This Row],[DiagnosisID]],diagnoses[#All],2)</f>
        <v>Arthritis</v>
      </c>
      <c r="G108" s="1">
        <v>45676</v>
      </c>
      <c r="H108" s="1">
        <v>45844</v>
      </c>
      <c r="I108" s="2">
        <f>_xlfn.DAYS(patients[[#This Row],[DischargeDate]],patients[[#This Row],[AdmissionDate]])</f>
        <v>168</v>
      </c>
      <c r="J108">
        <v>1</v>
      </c>
      <c r="K108" t="str">
        <f>VLOOKUP(patients[[#This Row],[OutcomeID]],outcomes[],2)</f>
        <v>Recovered</v>
      </c>
      <c r="L108">
        <v>2688</v>
      </c>
      <c r="M108" t="str">
        <f>VLOOKUP(patients[[#This Row],[PatientID]],labs[[LabID]:[TestName]],3)</f>
        <v>Blood Sugar</v>
      </c>
      <c r="N108">
        <f>VLOOKUP(patients[[#This Row],[PatientID]],labs[],4)</f>
        <v>127.6</v>
      </c>
    </row>
    <row r="109" spans="1:14" x14ac:dyDescent="0.3">
      <c r="A109">
        <v>108</v>
      </c>
      <c r="B109" t="s">
        <v>119</v>
      </c>
      <c r="C109">
        <v>74</v>
      </c>
      <c r="D109" t="s">
        <v>11</v>
      </c>
      <c r="E109">
        <v>5</v>
      </c>
      <c r="F109" t="str">
        <f>VLOOKUP(patients[[#This Row],[DiagnosisID]],diagnoses[#All],2)</f>
        <v>Stroke</v>
      </c>
      <c r="G109" s="1">
        <v>45765</v>
      </c>
      <c r="H109" s="1">
        <v>45771</v>
      </c>
      <c r="I109" s="2">
        <f>_xlfn.DAYS(patients[[#This Row],[DischargeDate]],patients[[#This Row],[AdmissionDate]])</f>
        <v>6</v>
      </c>
      <c r="J109">
        <v>1</v>
      </c>
      <c r="K109" t="str">
        <f>VLOOKUP(patients[[#This Row],[OutcomeID]],outcomes[],2)</f>
        <v>Recovered</v>
      </c>
      <c r="L109">
        <v>6243</v>
      </c>
      <c r="M109" t="str">
        <f>VLOOKUP(patients[[#This Row],[PatientID]],labs[[LabID]:[TestName]],3)</f>
        <v>Blood Sugar</v>
      </c>
      <c r="N109">
        <f>VLOOKUP(patients[[#This Row],[PatientID]],labs[],4)</f>
        <v>163.80000000000001</v>
      </c>
    </row>
    <row r="110" spans="1:14" x14ac:dyDescent="0.3">
      <c r="A110">
        <v>109</v>
      </c>
      <c r="B110" t="s">
        <v>120</v>
      </c>
      <c r="C110">
        <v>47</v>
      </c>
      <c r="D110" t="s">
        <v>11</v>
      </c>
      <c r="E110">
        <v>5</v>
      </c>
      <c r="F110" t="str">
        <f>VLOOKUP(patients[[#This Row],[DiagnosisID]],diagnoses[#All],2)</f>
        <v>Stroke</v>
      </c>
      <c r="G110" s="1">
        <v>45824</v>
      </c>
      <c r="H110" s="1">
        <v>45834</v>
      </c>
      <c r="I110" s="2">
        <f>_xlfn.DAYS(patients[[#This Row],[DischargeDate]],patients[[#This Row],[AdmissionDate]])</f>
        <v>10</v>
      </c>
      <c r="J110">
        <v>3</v>
      </c>
      <c r="K110" t="str">
        <f>VLOOKUP(patients[[#This Row],[OutcomeID]],outcomes[],2)</f>
        <v>Deceased</v>
      </c>
      <c r="L110">
        <v>5701</v>
      </c>
      <c r="M110" t="str">
        <f>VLOOKUP(patients[[#This Row],[PatientID]],labs[[LabID]:[TestName]],3)</f>
        <v>Cholesterol</v>
      </c>
      <c r="N110">
        <f>VLOOKUP(patients[[#This Row],[PatientID]],labs[],4)</f>
        <v>52.9</v>
      </c>
    </row>
    <row r="111" spans="1:14" x14ac:dyDescent="0.3">
      <c r="A111">
        <v>110</v>
      </c>
      <c r="B111" t="s">
        <v>121</v>
      </c>
      <c r="C111">
        <v>76</v>
      </c>
      <c r="D111" t="s">
        <v>15</v>
      </c>
      <c r="E111">
        <v>7</v>
      </c>
      <c r="F111" t="str">
        <f>VLOOKUP(patients[[#This Row],[DiagnosisID]],diagnoses[#All],2)</f>
        <v>Cancer</v>
      </c>
      <c r="G111" s="1">
        <v>45748</v>
      </c>
      <c r="H111" s="1">
        <v>45752</v>
      </c>
      <c r="I111" s="2">
        <f>_xlfn.DAYS(patients[[#This Row],[DischargeDate]],patients[[#This Row],[AdmissionDate]])</f>
        <v>4</v>
      </c>
      <c r="J111">
        <v>3</v>
      </c>
      <c r="K111" t="str">
        <f>VLOOKUP(patients[[#This Row],[OutcomeID]],outcomes[],2)</f>
        <v>Deceased</v>
      </c>
      <c r="L111">
        <v>2341</v>
      </c>
      <c r="M111" t="str">
        <f>VLOOKUP(patients[[#This Row],[PatientID]],labs[[LabID]:[TestName]],3)</f>
        <v>Blood Pressure</v>
      </c>
      <c r="N111">
        <f>VLOOKUP(patients[[#This Row],[PatientID]],labs[],4)</f>
        <v>68.099999999999994</v>
      </c>
    </row>
    <row r="112" spans="1:14" x14ac:dyDescent="0.3">
      <c r="A112">
        <v>111</v>
      </c>
      <c r="B112" t="s">
        <v>122</v>
      </c>
      <c r="C112">
        <v>82</v>
      </c>
      <c r="D112" t="s">
        <v>15</v>
      </c>
      <c r="E112">
        <v>4</v>
      </c>
      <c r="F112" t="str">
        <f>VLOOKUP(patients[[#This Row],[DiagnosisID]],diagnoses[#All],2)</f>
        <v>Asthma</v>
      </c>
      <c r="G112" s="1">
        <v>45747</v>
      </c>
      <c r="H112" s="1">
        <v>45813</v>
      </c>
      <c r="I112" s="2">
        <f>_xlfn.DAYS(patients[[#This Row],[DischargeDate]],patients[[#This Row],[AdmissionDate]])</f>
        <v>66</v>
      </c>
      <c r="J112">
        <v>2</v>
      </c>
      <c r="K112" t="str">
        <f>VLOOKUP(patients[[#This Row],[OutcomeID]],outcomes[],2)</f>
        <v>Complicated</v>
      </c>
      <c r="L112">
        <v>8619</v>
      </c>
      <c r="M112" t="str">
        <f>VLOOKUP(patients[[#This Row],[PatientID]],labs[[LabID]:[TestName]],3)</f>
        <v>Creatinine</v>
      </c>
      <c r="N112">
        <f>VLOOKUP(patients[[#This Row],[PatientID]],labs[],4)</f>
        <v>148.1</v>
      </c>
    </row>
    <row r="113" spans="1:14" x14ac:dyDescent="0.3">
      <c r="A113">
        <v>112</v>
      </c>
      <c r="B113" t="s">
        <v>123</v>
      </c>
      <c r="C113">
        <v>53</v>
      </c>
      <c r="D113" t="s">
        <v>11</v>
      </c>
      <c r="E113">
        <v>6</v>
      </c>
      <c r="F113" t="str">
        <f>VLOOKUP(patients[[#This Row],[DiagnosisID]],diagnoses[#All],2)</f>
        <v>COPD</v>
      </c>
      <c r="G113" s="1">
        <v>45676</v>
      </c>
      <c r="H113" s="1">
        <v>45687</v>
      </c>
      <c r="I113" s="2">
        <f>_xlfn.DAYS(patients[[#This Row],[DischargeDate]],patients[[#This Row],[AdmissionDate]])</f>
        <v>11</v>
      </c>
      <c r="J113">
        <v>2</v>
      </c>
      <c r="K113" t="str">
        <f>VLOOKUP(patients[[#This Row],[OutcomeID]],outcomes[],2)</f>
        <v>Complicated</v>
      </c>
      <c r="L113">
        <v>7182</v>
      </c>
      <c r="M113" t="str">
        <f>VLOOKUP(patients[[#This Row],[PatientID]],labs[[LabID]:[TestName]],3)</f>
        <v>Vitamin D</v>
      </c>
      <c r="N113">
        <f>VLOOKUP(patients[[#This Row],[PatientID]],labs[],4)</f>
        <v>170</v>
      </c>
    </row>
    <row r="114" spans="1:14" x14ac:dyDescent="0.3">
      <c r="A114">
        <v>113</v>
      </c>
      <c r="B114" t="s">
        <v>124</v>
      </c>
      <c r="C114">
        <v>55</v>
      </c>
      <c r="D114" t="s">
        <v>11</v>
      </c>
      <c r="E114">
        <v>4</v>
      </c>
      <c r="F114" t="str">
        <f>VLOOKUP(patients[[#This Row],[DiagnosisID]],diagnoses[#All],2)</f>
        <v>Asthma</v>
      </c>
      <c r="G114" s="1">
        <v>45696</v>
      </c>
      <c r="H114" s="1">
        <v>45698</v>
      </c>
      <c r="I114" s="2">
        <f>_xlfn.DAYS(patients[[#This Row],[DischargeDate]],patients[[#This Row],[AdmissionDate]])</f>
        <v>2</v>
      </c>
      <c r="J114">
        <v>2</v>
      </c>
      <c r="K114" t="str">
        <f>VLOOKUP(patients[[#This Row],[OutcomeID]],outcomes[],2)</f>
        <v>Complicated</v>
      </c>
      <c r="L114">
        <v>3724</v>
      </c>
      <c r="M114" t="str">
        <f>VLOOKUP(patients[[#This Row],[PatientID]],labs[[LabID]:[TestName]],3)</f>
        <v>Vitamin D</v>
      </c>
      <c r="N114">
        <f>VLOOKUP(patients[[#This Row],[PatientID]],labs[],4)</f>
        <v>200</v>
      </c>
    </row>
    <row r="115" spans="1:14" x14ac:dyDescent="0.3">
      <c r="A115">
        <v>114</v>
      </c>
      <c r="B115" t="s">
        <v>125</v>
      </c>
      <c r="C115">
        <v>54</v>
      </c>
      <c r="D115" t="s">
        <v>15</v>
      </c>
      <c r="E115">
        <v>3</v>
      </c>
      <c r="F115" t="str">
        <f>VLOOKUP(patients[[#This Row],[DiagnosisID]],diagnoses[#All],2)</f>
        <v>Heart Disease</v>
      </c>
      <c r="G115" s="1">
        <v>45783</v>
      </c>
      <c r="H115" s="1">
        <v>45784</v>
      </c>
      <c r="I115" s="2">
        <f>_xlfn.DAYS(patients[[#This Row],[DischargeDate]],patients[[#This Row],[AdmissionDate]])</f>
        <v>1</v>
      </c>
      <c r="J115">
        <v>1</v>
      </c>
      <c r="K115" t="str">
        <f>VLOOKUP(patients[[#This Row],[OutcomeID]],outcomes[],2)</f>
        <v>Recovered</v>
      </c>
      <c r="L115">
        <v>7479</v>
      </c>
      <c r="M115" t="str">
        <f>VLOOKUP(patients[[#This Row],[PatientID]],labs[[LabID]:[TestName]],3)</f>
        <v>Creatinine</v>
      </c>
      <c r="N115">
        <f>VLOOKUP(patients[[#This Row],[PatientID]],labs[],4)</f>
        <v>122.9</v>
      </c>
    </row>
    <row r="116" spans="1:14" x14ac:dyDescent="0.3">
      <c r="A116">
        <v>115</v>
      </c>
      <c r="B116" t="s">
        <v>126</v>
      </c>
      <c r="C116">
        <v>89</v>
      </c>
      <c r="D116" t="s">
        <v>11</v>
      </c>
      <c r="E116">
        <v>7</v>
      </c>
      <c r="F116" t="str">
        <f>VLOOKUP(patients[[#This Row],[DiagnosisID]],diagnoses[#All],2)</f>
        <v>Cancer</v>
      </c>
      <c r="G116" s="1">
        <v>45830</v>
      </c>
      <c r="H116" s="1">
        <v>45836</v>
      </c>
      <c r="I116" s="2">
        <f>_xlfn.DAYS(patients[[#This Row],[DischargeDate]],patients[[#This Row],[AdmissionDate]])</f>
        <v>6</v>
      </c>
      <c r="J116">
        <v>1</v>
      </c>
      <c r="K116" t="str">
        <f>VLOOKUP(patients[[#This Row],[OutcomeID]],outcomes[],2)</f>
        <v>Recovered</v>
      </c>
      <c r="L116">
        <v>8704</v>
      </c>
      <c r="M116" t="str">
        <f>VLOOKUP(patients[[#This Row],[PatientID]],labs[[LabID]:[TestName]],3)</f>
        <v>Blood Sugar</v>
      </c>
      <c r="N116">
        <f>VLOOKUP(patients[[#This Row],[PatientID]],labs[],4)</f>
        <v>223.7</v>
      </c>
    </row>
    <row r="117" spans="1:14" x14ac:dyDescent="0.3">
      <c r="A117">
        <v>116</v>
      </c>
      <c r="B117" t="s">
        <v>127</v>
      </c>
      <c r="C117">
        <v>89</v>
      </c>
      <c r="D117" t="s">
        <v>15</v>
      </c>
      <c r="E117">
        <v>8</v>
      </c>
      <c r="F117" t="str">
        <f>VLOOKUP(patients[[#This Row],[DiagnosisID]],diagnoses[#All],2)</f>
        <v>Arthritis</v>
      </c>
      <c r="G117" s="1">
        <v>45798</v>
      </c>
      <c r="H117" s="1">
        <v>45802</v>
      </c>
      <c r="I117" s="2">
        <f>_xlfn.DAYS(patients[[#This Row],[DischargeDate]],patients[[#This Row],[AdmissionDate]])</f>
        <v>4</v>
      </c>
      <c r="J117">
        <v>2</v>
      </c>
      <c r="K117" t="str">
        <f>VLOOKUP(patients[[#This Row],[OutcomeID]],outcomes[],2)</f>
        <v>Complicated</v>
      </c>
      <c r="L117">
        <v>6422</v>
      </c>
      <c r="M117" t="str">
        <f>VLOOKUP(patients[[#This Row],[PatientID]],labs[[LabID]:[TestName]],3)</f>
        <v>Blood Sugar</v>
      </c>
      <c r="N117">
        <f>VLOOKUP(patients[[#This Row],[PatientID]],labs[],4)</f>
        <v>265</v>
      </c>
    </row>
    <row r="118" spans="1:14" x14ac:dyDescent="0.3">
      <c r="A118">
        <v>117</v>
      </c>
      <c r="B118" t="s">
        <v>128</v>
      </c>
      <c r="C118">
        <v>89</v>
      </c>
      <c r="D118" t="s">
        <v>15</v>
      </c>
      <c r="E118">
        <v>4</v>
      </c>
      <c r="F118" t="str">
        <f>VLOOKUP(patients[[#This Row],[DiagnosisID]],diagnoses[#All],2)</f>
        <v>Asthma</v>
      </c>
      <c r="G118" s="1">
        <v>45783</v>
      </c>
      <c r="H118" s="1">
        <v>45788</v>
      </c>
      <c r="I118" s="2">
        <f>_xlfn.DAYS(patients[[#This Row],[DischargeDate]],patients[[#This Row],[AdmissionDate]])</f>
        <v>5</v>
      </c>
      <c r="J118">
        <v>1</v>
      </c>
      <c r="K118" t="str">
        <f>VLOOKUP(patients[[#This Row],[OutcomeID]],outcomes[],2)</f>
        <v>Recovered</v>
      </c>
      <c r="L118">
        <v>3792</v>
      </c>
      <c r="M118" t="str">
        <f>VLOOKUP(patients[[#This Row],[PatientID]],labs[[LabID]:[TestName]],3)</f>
        <v>Blood Pressure</v>
      </c>
      <c r="N118">
        <f>VLOOKUP(patients[[#This Row],[PatientID]],labs[],4)</f>
        <v>245</v>
      </c>
    </row>
    <row r="119" spans="1:14" x14ac:dyDescent="0.3">
      <c r="A119">
        <v>118</v>
      </c>
      <c r="B119" t="s">
        <v>129</v>
      </c>
      <c r="C119">
        <v>74</v>
      </c>
      <c r="D119" t="s">
        <v>11</v>
      </c>
      <c r="E119">
        <v>2</v>
      </c>
      <c r="F119" t="str">
        <f>VLOOKUP(patients[[#This Row],[DiagnosisID]],diagnoses[#All],2)</f>
        <v>Diabetes</v>
      </c>
      <c r="G119" s="1">
        <v>45715</v>
      </c>
      <c r="H119" s="1">
        <v>45815</v>
      </c>
      <c r="I119" s="2">
        <f>_xlfn.DAYS(patients[[#This Row],[DischargeDate]],patients[[#This Row],[AdmissionDate]])</f>
        <v>100</v>
      </c>
      <c r="J119">
        <v>2</v>
      </c>
      <c r="K119" t="str">
        <f>VLOOKUP(patients[[#This Row],[OutcomeID]],outcomes[],2)</f>
        <v>Complicated</v>
      </c>
      <c r="L119">
        <v>3759</v>
      </c>
      <c r="M119" t="str">
        <f>VLOOKUP(patients[[#This Row],[PatientID]],labs[[LabID]:[TestName]],3)</f>
        <v>Hemoglobin</v>
      </c>
      <c r="N119">
        <f>VLOOKUP(patients[[#This Row],[PatientID]],labs[],4)</f>
        <v>59.9</v>
      </c>
    </row>
    <row r="120" spans="1:14" x14ac:dyDescent="0.3">
      <c r="A120">
        <v>119</v>
      </c>
      <c r="B120" t="s">
        <v>130</v>
      </c>
      <c r="C120">
        <v>70</v>
      </c>
      <c r="D120" t="s">
        <v>11</v>
      </c>
      <c r="E120">
        <v>10</v>
      </c>
      <c r="F120" t="str">
        <f>VLOOKUP(patients[[#This Row],[DiagnosisID]],diagnoses[#All],2)</f>
        <v>Liver Disease</v>
      </c>
      <c r="G120" s="1">
        <v>45805</v>
      </c>
      <c r="H120" s="1">
        <v>45807</v>
      </c>
      <c r="I120" s="2">
        <f>_xlfn.DAYS(patients[[#This Row],[DischargeDate]],patients[[#This Row],[AdmissionDate]])</f>
        <v>2</v>
      </c>
      <c r="J120">
        <v>3</v>
      </c>
      <c r="K120" t="str">
        <f>VLOOKUP(patients[[#This Row],[OutcomeID]],outcomes[],2)</f>
        <v>Deceased</v>
      </c>
      <c r="L120">
        <v>5212</v>
      </c>
      <c r="M120" t="str">
        <f>VLOOKUP(patients[[#This Row],[PatientID]],labs[[LabID]:[TestName]],3)</f>
        <v>Cholesterol</v>
      </c>
      <c r="N120">
        <f>VLOOKUP(patients[[#This Row],[PatientID]],labs[],4)</f>
        <v>170.1</v>
      </c>
    </row>
    <row r="121" spans="1:14" x14ac:dyDescent="0.3">
      <c r="A121">
        <v>120</v>
      </c>
      <c r="B121" t="s">
        <v>131</v>
      </c>
      <c r="C121">
        <v>58</v>
      </c>
      <c r="D121" t="s">
        <v>15</v>
      </c>
      <c r="E121">
        <v>3</v>
      </c>
      <c r="F121" t="str">
        <f>VLOOKUP(patients[[#This Row],[DiagnosisID]],diagnoses[#All],2)</f>
        <v>Heart Disease</v>
      </c>
      <c r="G121" s="1">
        <v>45718</v>
      </c>
      <c r="H121" s="1">
        <v>45722</v>
      </c>
      <c r="I121" s="2">
        <f>_xlfn.DAYS(patients[[#This Row],[DischargeDate]],patients[[#This Row],[AdmissionDate]])</f>
        <v>4</v>
      </c>
      <c r="J121">
        <v>2</v>
      </c>
      <c r="K121" t="str">
        <f>VLOOKUP(patients[[#This Row],[OutcomeID]],outcomes[],2)</f>
        <v>Complicated</v>
      </c>
      <c r="L121">
        <v>2989</v>
      </c>
      <c r="M121" t="str">
        <f>VLOOKUP(patients[[#This Row],[PatientID]],labs[[LabID]:[TestName]],3)</f>
        <v>Blood Sugar</v>
      </c>
      <c r="N121">
        <f>VLOOKUP(patients[[#This Row],[PatientID]],labs[],4)</f>
        <v>76.2</v>
      </c>
    </row>
    <row r="122" spans="1:14" x14ac:dyDescent="0.3">
      <c r="A122">
        <v>121</v>
      </c>
      <c r="B122" t="s">
        <v>132</v>
      </c>
      <c r="C122">
        <v>44</v>
      </c>
      <c r="D122" t="s">
        <v>15</v>
      </c>
      <c r="E122">
        <v>1</v>
      </c>
      <c r="F122" t="str">
        <f>VLOOKUP(patients[[#This Row],[DiagnosisID]],diagnoses[#All],2)</f>
        <v>Hypertension</v>
      </c>
      <c r="G122" s="1">
        <v>45784</v>
      </c>
      <c r="H122" s="1">
        <v>45799</v>
      </c>
      <c r="I122" s="2">
        <f>_xlfn.DAYS(patients[[#This Row],[DischargeDate]],patients[[#This Row],[AdmissionDate]])</f>
        <v>15</v>
      </c>
      <c r="J122">
        <v>3</v>
      </c>
      <c r="K122" t="str">
        <f>VLOOKUP(patients[[#This Row],[OutcomeID]],outcomes[],2)</f>
        <v>Deceased</v>
      </c>
      <c r="L122">
        <v>4262</v>
      </c>
      <c r="M122" t="str">
        <f>VLOOKUP(patients[[#This Row],[PatientID]],labs[[LabID]:[TestName]],3)</f>
        <v>Vitamin D</v>
      </c>
      <c r="N122">
        <f>VLOOKUP(patients[[#This Row],[PatientID]],labs[],4)</f>
        <v>110.5</v>
      </c>
    </row>
    <row r="123" spans="1:14" x14ac:dyDescent="0.3">
      <c r="A123">
        <v>122</v>
      </c>
      <c r="B123" t="s">
        <v>133</v>
      </c>
      <c r="C123">
        <v>74</v>
      </c>
      <c r="D123" t="s">
        <v>11</v>
      </c>
      <c r="E123">
        <v>8</v>
      </c>
      <c r="F123" t="str">
        <f>VLOOKUP(patients[[#This Row],[DiagnosisID]],diagnoses[#All],2)</f>
        <v>Arthritis</v>
      </c>
      <c r="G123" s="1">
        <v>45762</v>
      </c>
      <c r="H123" s="1">
        <v>45764</v>
      </c>
      <c r="I123" s="2">
        <f>_xlfn.DAYS(patients[[#This Row],[DischargeDate]],patients[[#This Row],[AdmissionDate]])</f>
        <v>2</v>
      </c>
      <c r="J123">
        <v>1</v>
      </c>
      <c r="K123" t="str">
        <f>VLOOKUP(patients[[#This Row],[OutcomeID]],outcomes[],2)</f>
        <v>Recovered</v>
      </c>
      <c r="L123">
        <v>4482</v>
      </c>
      <c r="M123" t="str">
        <f>VLOOKUP(patients[[#This Row],[PatientID]],labs[[LabID]:[TestName]],3)</f>
        <v>Blood Pressure</v>
      </c>
      <c r="N123">
        <f>VLOOKUP(patients[[#This Row],[PatientID]],labs[],4)</f>
        <v>296.7</v>
      </c>
    </row>
    <row r="124" spans="1:14" x14ac:dyDescent="0.3">
      <c r="A124">
        <v>123</v>
      </c>
      <c r="B124" t="s">
        <v>134</v>
      </c>
      <c r="C124">
        <v>30</v>
      </c>
      <c r="D124" t="s">
        <v>15</v>
      </c>
      <c r="E124">
        <v>3</v>
      </c>
      <c r="F124" t="str">
        <f>VLOOKUP(patients[[#This Row],[DiagnosisID]],diagnoses[#All],2)</f>
        <v>Heart Disease</v>
      </c>
      <c r="G124" s="1">
        <v>45824</v>
      </c>
      <c r="H124" s="1">
        <v>45831</v>
      </c>
      <c r="I124" s="2">
        <f>_xlfn.DAYS(patients[[#This Row],[DischargeDate]],patients[[#This Row],[AdmissionDate]])</f>
        <v>7</v>
      </c>
      <c r="J124">
        <v>2</v>
      </c>
      <c r="K124" t="str">
        <f>VLOOKUP(patients[[#This Row],[OutcomeID]],outcomes[],2)</f>
        <v>Complicated</v>
      </c>
      <c r="L124">
        <v>2951</v>
      </c>
      <c r="M124" t="str">
        <f>VLOOKUP(patients[[#This Row],[PatientID]],labs[[LabID]:[TestName]],3)</f>
        <v>Cholesterol</v>
      </c>
      <c r="N124">
        <f>VLOOKUP(patients[[#This Row],[PatientID]],labs[],4)</f>
        <v>85.6</v>
      </c>
    </row>
    <row r="125" spans="1:14" x14ac:dyDescent="0.3">
      <c r="A125">
        <v>124</v>
      </c>
      <c r="B125" t="s">
        <v>135</v>
      </c>
      <c r="C125">
        <v>54</v>
      </c>
      <c r="D125" t="s">
        <v>11</v>
      </c>
      <c r="E125">
        <v>10</v>
      </c>
      <c r="F125" t="str">
        <f>VLOOKUP(patients[[#This Row],[DiagnosisID]],diagnoses[#All],2)</f>
        <v>Liver Disease</v>
      </c>
      <c r="G125" s="1">
        <v>45658</v>
      </c>
      <c r="H125" s="1">
        <v>45712</v>
      </c>
      <c r="I125" s="2">
        <f>_xlfn.DAYS(patients[[#This Row],[DischargeDate]],patients[[#This Row],[AdmissionDate]])</f>
        <v>54</v>
      </c>
      <c r="J125">
        <v>1</v>
      </c>
      <c r="K125" t="str">
        <f>VLOOKUP(patients[[#This Row],[OutcomeID]],outcomes[],2)</f>
        <v>Recovered</v>
      </c>
      <c r="L125">
        <v>2722</v>
      </c>
      <c r="M125" t="str">
        <f>VLOOKUP(patients[[#This Row],[PatientID]],labs[[LabID]:[TestName]],3)</f>
        <v>Blood Pressure</v>
      </c>
      <c r="N125">
        <f>VLOOKUP(patients[[#This Row],[PatientID]],labs[],4)</f>
        <v>174.7</v>
      </c>
    </row>
    <row r="126" spans="1:14" x14ac:dyDescent="0.3">
      <c r="A126">
        <v>125</v>
      </c>
      <c r="B126" t="s">
        <v>136</v>
      </c>
      <c r="C126">
        <v>36</v>
      </c>
      <c r="D126" t="s">
        <v>15</v>
      </c>
      <c r="E126">
        <v>7</v>
      </c>
      <c r="F126" t="str">
        <f>VLOOKUP(patients[[#This Row],[DiagnosisID]],diagnoses[#All],2)</f>
        <v>Cancer</v>
      </c>
      <c r="G126" s="1">
        <v>45788</v>
      </c>
      <c r="H126" s="1">
        <v>45793</v>
      </c>
      <c r="I126" s="2">
        <f>_xlfn.DAYS(patients[[#This Row],[DischargeDate]],patients[[#This Row],[AdmissionDate]])</f>
        <v>5</v>
      </c>
      <c r="J126">
        <v>3</v>
      </c>
      <c r="K126" t="str">
        <f>VLOOKUP(patients[[#This Row],[OutcomeID]],outcomes[],2)</f>
        <v>Deceased</v>
      </c>
      <c r="L126">
        <v>5389</v>
      </c>
      <c r="M126" t="str">
        <f>VLOOKUP(patients[[#This Row],[PatientID]],labs[[LabID]:[TestName]],3)</f>
        <v>Cholesterol</v>
      </c>
      <c r="N126">
        <f>VLOOKUP(patients[[#This Row],[PatientID]],labs[],4)</f>
        <v>204.5</v>
      </c>
    </row>
    <row r="127" spans="1:14" x14ac:dyDescent="0.3">
      <c r="A127">
        <v>126</v>
      </c>
      <c r="B127" t="s">
        <v>137</v>
      </c>
      <c r="C127">
        <v>38</v>
      </c>
      <c r="D127" t="s">
        <v>11</v>
      </c>
      <c r="E127">
        <v>10</v>
      </c>
      <c r="F127" t="str">
        <f>VLOOKUP(patients[[#This Row],[DiagnosisID]],diagnoses[#All],2)</f>
        <v>Liver Disease</v>
      </c>
      <c r="G127" s="1">
        <v>45749</v>
      </c>
      <c r="H127" s="1">
        <v>45843</v>
      </c>
      <c r="I127" s="2">
        <f>_xlfn.DAYS(patients[[#This Row],[DischargeDate]],patients[[#This Row],[AdmissionDate]])</f>
        <v>94</v>
      </c>
      <c r="J127">
        <v>3</v>
      </c>
      <c r="K127" t="str">
        <f>VLOOKUP(patients[[#This Row],[OutcomeID]],outcomes[],2)</f>
        <v>Deceased</v>
      </c>
      <c r="L127">
        <v>4079</v>
      </c>
      <c r="M127" t="str">
        <f>VLOOKUP(patients[[#This Row],[PatientID]],labs[[LabID]:[TestName]],3)</f>
        <v>Cholesterol</v>
      </c>
      <c r="N127">
        <f>VLOOKUP(patients[[#This Row],[PatientID]],labs[],4)</f>
        <v>225.6</v>
      </c>
    </row>
    <row r="128" spans="1:14" x14ac:dyDescent="0.3">
      <c r="A128">
        <v>127</v>
      </c>
      <c r="B128" t="s">
        <v>138</v>
      </c>
      <c r="C128">
        <v>53</v>
      </c>
      <c r="D128" t="s">
        <v>11</v>
      </c>
      <c r="E128">
        <v>5</v>
      </c>
      <c r="F128" t="str">
        <f>VLOOKUP(patients[[#This Row],[DiagnosisID]],diagnoses[#All],2)</f>
        <v>Stroke</v>
      </c>
      <c r="G128" s="1">
        <v>45770</v>
      </c>
      <c r="H128" s="1">
        <v>45778</v>
      </c>
      <c r="I128" s="2">
        <f>_xlfn.DAYS(patients[[#This Row],[DischargeDate]],patients[[#This Row],[AdmissionDate]])</f>
        <v>8</v>
      </c>
      <c r="J128">
        <v>3</v>
      </c>
      <c r="K128" t="str">
        <f>VLOOKUP(patients[[#This Row],[OutcomeID]],outcomes[],2)</f>
        <v>Deceased</v>
      </c>
      <c r="L128">
        <v>4717</v>
      </c>
      <c r="M128" t="str">
        <f>VLOOKUP(patients[[#This Row],[PatientID]],labs[[LabID]:[TestName]],3)</f>
        <v>Creatinine</v>
      </c>
      <c r="N128">
        <f>VLOOKUP(patients[[#This Row],[PatientID]],labs[],4)</f>
        <v>189.9</v>
      </c>
    </row>
    <row r="129" spans="1:14" x14ac:dyDescent="0.3">
      <c r="A129">
        <v>128</v>
      </c>
      <c r="B129" t="s">
        <v>139</v>
      </c>
      <c r="C129">
        <v>30</v>
      </c>
      <c r="D129" t="s">
        <v>11</v>
      </c>
      <c r="E129">
        <v>10</v>
      </c>
      <c r="F129" t="str">
        <f>VLOOKUP(patients[[#This Row],[DiagnosisID]],diagnoses[#All],2)</f>
        <v>Liver Disease</v>
      </c>
      <c r="G129" s="1">
        <v>45810</v>
      </c>
      <c r="H129" s="1">
        <v>45816</v>
      </c>
      <c r="I129" s="2">
        <f>_xlfn.DAYS(patients[[#This Row],[DischargeDate]],patients[[#This Row],[AdmissionDate]])</f>
        <v>6</v>
      </c>
      <c r="J129">
        <v>1</v>
      </c>
      <c r="K129" t="str">
        <f>VLOOKUP(patients[[#This Row],[OutcomeID]],outcomes[],2)</f>
        <v>Recovered</v>
      </c>
      <c r="L129">
        <v>4332</v>
      </c>
      <c r="M129" t="str">
        <f>VLOOKUP(patients[[#This Row],[PatientID]],labs[[LabID]:[TestName]],3)</f>
        <v>Blood Sugar</v>
      </c>
      <c r="N129">
        <f>VLOOKUP(patients[[#This Row],[PatientID]],labs[],4)</f>
        <v>52.4</v>
      </c>
    </row>
    <row r="130" spans="1:14" x14ac:dyDescent="0.3">
      <c r="A130">
        <v>129</v>
      </c>
      <c r="B130" t="s">
        <v>140</v>
      </c>
      <c r="C130">
        <v>73</v>
      </c>
      <c r="D130" t="s">
        <v>15</v>
      </c>
      <c r="E130">
        <v>5</v>
      </c>
      <c r="F130" t="str">
        <f>VLOOKUP(patients[[#This Row],[DiagnosisID]],diagnoses[#All],2)</f>
        <v>Stroke</v>
      </c>
      <c r="G130" s="1">
        <v>45713</v>
      </c>
      <c r="H130" s="1">
        <v>45821</v>
      </c>
      <c r="I130" s="2">
        <f>_xlfn.DAYS(patients[[#This Row],[DischargeDate]],patients[[#This Row],[AdmissionDate]])</f>
        <v>108</v>
      </c>
      <c r="J130">
        <v>1</v>
      </c>
      <c r="K130" t="str">
        <f>VLOOKUP(patients[[#This Row],[OutcomeID]],outcomes[],2)</f>
        <v>Recovered</v>
      </c>
      <c r="L130">
        <v>5376</v>
      </c>
      <c r="M130" t="str">
        <f>VLOOKUP(patients[[#This Row],[PatientID]],labs[[LabID]:[TestName]],3)</f>
        <v>Blood Pressure</v>
      </c>
      <c r="N130">
        <f>VLOOKUP(patients[[#This Row],[PatientID]],labs[],4)</f>
        <v>131.6</v>
      </c>
    </row>
    <row r="131" spans="1:14" x14ac:dyDescent="0.3">
      <c r="A131">
        <v>130</v>
      </c>
      <c r="B131" t="s">
        <v>141</v>
      </c>
      <c r="C131">
        <v>37</v>
      </c>
      <c r="D131" t="s">
        <v>15</v>
      </c>
      <c r="E131">
        <v>7</v>
      </c>
      <c r="F131" t="str">
        <f>VLOOKUP(patients[[#This Row],[DiagnosisID]],diagnoses[#All],2)</f>
        <v>Cancer</v>
      </c>
      <c r="G131" s="1">
        <v>45818</v>
      </c>
      <c r="H131" s="1">
        <v>45821</v>
      </c>
      <c r="I131" s="2">
        <f>_xlfn.DAYS(patients[[#This Row],[DischargeDate]],patients[[#This Row],[AdmissionDate]])</f>
        <v>3</v>
      </c>
      <c r="J131">
        <v>1</v>
      </c>
      <c r="K131" t="str">
        <f>VLOOKUP(patients[[#This Row],[OutcomeID]],outcomes[],2)</f>
        <v>Recovered</v>
      </c>
      <c r="L131">
        <v>6524</v>
      </c>
      <c r="M131" t="str">
        <f>VLOOKUP(patients[[#This Row],[PatientID]],labs[[LabID]:[TestName]],3)</f>
        <v>Blood Pressure</v>
      </c>
      <c r="N131">
        <f>VLOOKUP(patients[[#This Row],[PatientID]],labs[],4)</f>
        <v>179.4</v>
      </c>
    </row>
    <row r="132" spans="1:14" x14ac:dyDescent="0.3">
      <c r="A132">
        <v>131</v>
      </c>
      <c r="B132" t="s">
        <v>142</v>
      </c>
      <c r="C132">
        <v>53</v>
      </c>
      <c r="D132" t="s">
        <v>11</v>
      </c>
      <c r="E132">
        <v>9</v>
      </c>
      <c r="F132" t="str">
        <f>VLOOKUP(patients[[#This Row],[DiagnosisID]],diagnoses[#All],2)</f>
        <v>Kidney Disease</v>
      </c>
      <c r="G132" s="1">
        <v>45823</v>
      </c>
      <c r="H132" s="1">
        <v>45829</v>
      </c>
      <c r="I132" s="2">
        <f>_xlfn.DAYS(patients[[#This Row],[DischargeDate]],patients[[#This Row],[AdmissionDate]])</f>
        <v>6</v>
      </c>
      <c r="J132">
        <v>1</v>
      </c>
      <c r="K132" t="str">
        <f>VLOOKUP(patients[[#This Row],[OutcomeID]],outcomes[],2)</f>
        <v>Recovered</v>
      </c>
      <c r="L132">
        <v>3500</v>
      </c>
      <c r="M132" t="str">
        <f>VLOOKUP(patients[[#This Row],[PatientID]],labs[[LabID]:[TestName]],3)</f>
        <v>Creatinine</v>
      </c>
      <c r="N132">
        <f>VLOOKUP(patients[[#This Row],[PatientID]],labs[],4)</f>
        <v>72</v>
      </c>
    </row>
    <row r="133" spans="1:14" x14ac:dyDescent="0.3">
      <c r="A133">
        <v>132</v>
      </c>
      <c r="B133" t="s">
        <v>143</v>
      </c>
      <c r="C133">
        <v>40</v>
      </c>
      <c r="D133" t="s">
        <v>15</v>
      </c>
      <c r="E133">
        <v>5</v>
      </c>
      <c r="F133" t="str">
        <f>VLOOKUP(patients[[#This Row],[DiagnosisID]],diagnoses[#All],2)</f>
        <v>Stroke</v>
      </c>
      <c r="G133" s="1">
        <v>45774</v>
      </c>
      <c r="H133" s="1">
        <v>45780</v>
      </c>
      <c r="I133" s="2">
        <f>_xlfn.DAYS(patients[[#This Row],[DischargeDate]],patients[[#This Row],[AdmissionDate]])</f>
        <v>6</v>
      </c>
      <c r="J133">
        <v>3</v>
      </c>
      <c r="K133" t="str">
        <f>VLOOKUP(patients[[#This Row],[OutcomeID]],outcomes[],2)</f>
        <v>Deceased</v>
      </c>
      <c r="L133">
        <v>2285</v>
      </c>
      <c r="M133" t="str">
        <f>VLOOKUP(patients[[#This Row],[PatientID]],labs[[LabID]:[TestName]],3)</f>
        <v>Vitamin D</v>
      </c>
      <c r="N133">
        <f>VLOOKUP(patients[[#This Row],[PatientID]],labs[],4)</f>
        <v>137.69999999999999</v>
      </c>
    </row>
    <row r="134" spans="1:14" x14ac:dyDescent="0.3">
      <c r="A134">
        <v>133</v>
      </c>
      <c r="B134" t="s">
        <v>144</v>
      </c>
      <c r="C134">
        <v>80</v>
      </c>
      <c r="D134" t="s">
        <v>11</v>
      </c>
      <c r="E134">
        <v>1</v>
      </c>
      <c r="F134" t="str">
        <f>VLOOKUP(patients[[#This Row],[DiagnosisID]],diagnoses[#All],2)</f>
        <v>Hypertension</v>
      </c>
      <c r="G134" s="1">
        <v>45791</v>
      </c>
      <c r="H134" s="1">
        <v>45795</v>
      </c>
      <c r="I134" s="2">
        <f>_xlfn.DAYS(patients[[#This Row],[DischargeDate]],patients[[#This Row],[AdmissionDate]])</f>
        <v>4</v>
      </c>
      <c r="J134">
        <v>3</v>
      </c>
      <c r="K134" t="str">
        <f>VLOOKUP(patients[[#This Row],[OutcomeID]],outcomes[],2)</f>
        <v>Deceased</v>
      </c>
      <c r="L134">
        <v>9311</v>
      </c>
      <c r="M134" t="str">
        <f>VLOOKUP(patients[[#This Row],[PatientID]],labs[[LabID]:[TestName]],3)</f>
        <v>Vitamin D</v>
      </c>
      <c r="N134">
        <f>VLOOKUP(patients[[#This Row],[PatientID]],labs[],4)</f>
        <v>58.3</v>
      </c>
    </row>
    <row r="135" spans="1:14" x14ac:dyDescent="0.3">
      <c r="A135">
        <v>134</v>
      </c>
      <c r="B135" t="s">
        <v>145</v>
      </c>
      <c r="C135">
        <v>46</v>
      </c>
      <c r="D135" t="s">
        <v>11</v>
      </c>
      <c r="E135">
        <v>10</v>
      </c>
      <c r="F135" t="str">
        <f>VLOOKUP(patients[[#This Row],[DiagnosisID]],diagnoses[#All],2)</f>
        <v>Liver Disease</v>
      </c>
      <c r="G135" s="1">
        <v>45715</v>
      </c>
      <c r="H135" s="1">
        <v>45722</v>
      </c>
      <c r="I135" s="2">
        <f>_xlfn.DAYS(patients[[#This Row],[DischargeDate]],patients[[#This Row],[AdmissionDate]])</f>
        <v>7</v>
      </c>
      <c r="J135">
        <v>2</v>
      </c>
      <c r="K135" t="str">
        <f>VLOOKUP(patients[[#This Row],[OutcomeID]],outcomes[],2)</f>
        <v>Complicated</v>
      </c>
      <c r="L135">
        <v>5495</v>
      </c>
      <c r="M135" t="str">
        <f>VLOOKUP(patients[[#This Row],[PatientID]],labs[[LabID]:[TestName]],3)</f>
        <v>Blood Sugar</v>
      </c>
      <c r="N135">
        <f>VLOOKUP(patients[[#This Row],[PatientID]],labs[],4)</f>
        <v>69.599999999999994</v>
      </c>
    </row>
    <row r="136" spans="1:14" x14ac:dyDescent="0.3">
      <c r="A136">
        <v>135</v>
      </c>
      <c r="B136" t="s">
        <v>146</v>
      </c>
      <c r="C136">
        <v>37</v>
      </c>
      <c r="D136" t="s">
        <v>15</v>
      </c>
      <c r="E136">
        <v>10</v>
      </c>
      <c r="F136" t="str">
        <f>VLOOKUP(patients[[#This Row],[DiagnosisID]],diagnoses[#All],2)</f>
        <v>Liver Disease</v>
      </c>
      <c r="G136" s="1">
        <v>45701</v>
      </c>
      <c r="H136" s="1">
        <v>45760</v>
      </c>
      <c r="I136" s="2">
        <f>_xlfn.DAYS(patients[[#This Row],[DischargeDate]],patients[[#This Row],[AdmissionDate]])</f>
        <v>59</v>
      </c>
      <c r="J136">
        <v>2</v>
      </c>
      <c r="K136" t="str">
        <f>VLOOKUP(patients[[#This Row],[OutcomeID]],outcomes[],2)</f>
        <v>Complicated</v>
      </c>
      <c r="L136">
        <v>9186</v>
      </c>
      <c r="M136" t="str">
        <f>VLOOKUP(patients[[#This Row],[PatientID]],labs[[LabID]:[TestName]],3)</f>
        <v>Blood Sugar</v>
      </c>
      <c r="N136">
        <f>VLOOKUP(patients[[#This Row],[PatientID]],labs[],4)</f>
        <v>149.19999999999999</v>
      </c>
    </row>
    <row r="137" spans="1:14" x14ac:dyDescent="0.3">
      <c r="A137">
        <v>136</v>
      </c>
      <c r="B137" t="s">
        <v>147</v>
      </c>
      <c r="C137">
        <v>64</v>
      </c>
      <c r="D137" t="s">
        <v>15</v>
      </c>
      <c r="E137">
        <v>1</v>
      </c>
      <c r="F137" t="str">
        <f>VLOOKUP(patients[[#This Row],[DiagnosisID]],diagnoses[#All],2)</f>
        <v>Hypertension</v>
      </c>
      <c r="G137" s="1">
        <v>45830</v>
      </c>
      <c r="H137" s="1">
        <v>45835</v>
      </c>
      <c r="I137" s="2">
        <f>_xlfn.DAYS(patients[[#This Row],[DischargeDate]],patients[[#This Row],[AdmissionDate]])</f>
        <v>5</v>
      </c>
      <c r="J137">
        <v>1</v>
      </c>
      <c r="K137" t="str">
        <f>VLOOKUP(patients[[#This Row],[OutcomeID]],outcomes[],2)</f>
        <v>Recovered</v>
      </c>
      <c r="L137">
        <v>4065</v>
      </c>
      <c r="M137" t="str">
        <f>VLOOKUP(patients[[#This Row],[PatientID]],labs[[LabID]:[TestName]],3)</f>
        <v>Hemoglobin</v>
      </c>
      <c r="N137">
        <f>VLOOKUP(patients[[#This Row],[PatientID]],labs[],4)</f>
        <v>83.2</v>
      </c>
    </row>
    <row r="138" spans="1:14" x14ac:dyDescent="0.3">
      <c r="A138">
        <v>137</v>
      </c>
      <c r="B138" t="s">
        <v>148</v>
      </c>
      <c r="C138">
        <v>64</v>
      </c>
      <c r="D138" t="s">
        <v>11</v>
      </c>
      <c r="E138">
        <v>2</v>
      </c>
      <c r="F138" t="str">
        <f>VLOOKUP(patients[[#This Row],[DiagnosisID]],diagnoses[#All],2)</f>
        <v>Diabetes</v>
      </c>
      <c r="G138" s="1">
        <v>45817</v>
      </c>
      <c r="H138" s="1">
        <v>45819</v>
      </c>
      <c r="I138" s="2">
        <f>_xlfn.DAYS(patients[[#This Row],[DischargeDate]],patients[[#This Row],[AdmissionDate]])</f>
        <v>2</v>
      </c>
      <c r="J138">
        <v>3</v>
      </c>
      <c r="K138" t="str">
        <f>VLOOKUP(patients[[#This Row],[OutcomeID]],outcomes[],2)</f>
        <v>Deceased</v>
      </c>
      <c r="L138">
        <v>2768</v>
      </c>
      <c r="M138" t="str">
        <f>VLOOKUP(patients[[#This Row],[PatientID]],labs[[LabID]:[TestName]],3)</f>
        <v>Creatinine</v>
      </c>
      <c r="N138">
        <f>VLOOKUP(patients[[#This Row],[PatientID]],labs[],4)</f>
        <v>191.9</v>
      </c>
    </row>
    <row r="139" spans="1:14" x14ac:dyDescent="0.3">
      <c r="A139">
        <v>138</v>
      </c>
      <c r="B139" t="s">
        <v>149</v>
      </c>
      <c r="C139">
        <v>62</v>
      </c>
      <c r="D139" t="s">
        <v>15</v>
      </c>
      <c r="E139">
        <v>6</v>
      </c>
      <c r="F139" t="str">
        <f>VLOOKUP(patients[[#This Row],[DiagnosisID]],diagnoses[#All],2)</f>
        <v>COPD</v>
      </c>
      <c r="G139" s="1">
        <v>45830</v>
      </c>
      <c r="H139" s="1">
        <v>45840</v>
      </c>
      <c r="I139" s="2">
        <f>_xlfn.DAYS(patients[[#This Row],[DischargeDate]],patients[[#This Row],[AdmissionDate]])</f>
        <v>10</v>
      </c>
      <c r="J139">
        <v>3</v>
      </c>
      <c r="K139" t="str">
        <f>VLOOKUP(patients[[#This Row],[OutcomeID]],outcomes[],2)</f>
        <v>Deceased</v>
      </c>
      <c r="L139">
        <v>8733</v>
      </c>
      <c r="M139" t="str">
        <f>VLOOKUP(patients[[#This Row],[PatientID]],labs[[LabID]:[TestName]],3)</f>
        <v>Vitamin D</v>
      </c>
      <c r="N139">
        <f>VLOOKUP(patients[[#This Row],[PatientID]],labs[],4)</f>
        <v>222.4</v>
      </c>
    </row>
    <row r="140" spans="1:14" x14ac:dyDescent="0.3">
      <c r="A140">
        <v>139</v>
      </c>
      <c r="B140" t="s">
        <v>150</v>
      </c>
      <c r="C140">
        <v>88</v>
      </c>
      <c r="D140" t="s">
        <v>15</v>
      </c>
      <c r="E140">
        <v>9</v>
      </c>
      <c r="F140" t="str">
        <f>VLOOKUP(patients[[#This Row],[DiagnosisID]],diagnoses[#All],2)</f>
        <v>Kidney Disease</v>
      </c>
      <c r="G140" s="1">
        <v>45718</v>
      </c>
      <c r="H140" s="1">
        <v>45727</v>
      </c>
      <c r="I140" s="2">
        <f>_xlfn.DAYS(patients[[#This Row],[DischargeDate]],patients[[#This Row],[AdmissionDate]])</f>
        <v>9</v>
      </c>
      <c r="J140">
        <v>3</v>
      </c>
      <c r="K140" t="str">
        <f>VLOOKUP(patients[[#This Row],[OutcomeID]],outcomes[],2)</f>
        <v>Deceased</v>
      </c>
      <c r="L140">
        <v>7490</v>
      </c>
      <c r="M140" t="str">
        <f>VLOOKUP(patients[[#This Row],[PatientID]],labs[[LabID]:[TestName]],3)</f>
        <v>Cholesterol</v>
      </c>
      <c r="N140">
        <f>VLOOKUP(patients[[#This Row],[PatientID]],labs[],4)</f>
        <v>250.1</v>
      </c>
    </row>
    <row r="141" spans="1:14" x14ac:dyDescent="0.3">
      <c r="A141">
        <v>140</v>
      </c>
      <c r="B141" t="s">
        <v>151</v>
      </c>
      <c r="C141">
        <v>34</v>
      </c>
      <c r="D141" t="s">
        <v>11</v>
      </c>
      <c r="E141">
        <v>8</v>
      </c>
      <c r="F141" t="str">
        <f>VLOOKUP(patients[[#This Row],[DiagnosisID]],diagnoses[#All],2)</f>
        <v>Arthritis</v>
      </c>
      <c r="G141" s="1">
        <v>45704</v>
      </c>
      <c r="H141" s="1">
        <v>45747</v>
      </c>
      <c r="I141" s="2">
        <f>_xlfn.DAYS(patients[[#This Row],[DischargeDate]],patients[[#This Row],[AdmissionDate]])</f>
        <v>43</v>
      </c>
      <c r="J141">
        <v>2</v>
      </c>
      <c r="K141" t="str">
        <f>VLOOKUP(patients[[#This Row],[OutcomeID]],outcomes[],2)</f>
        <v>Complicated</v>
      </c>
      <c r="L141">
        <v>9342</v>
      </c>
      <c r="M141" t="str">
        <f>VLOOKUP(patients[[#This Row],[PatientID]],labs[[LabID]:[TestName]],3)</f>
        <v>Blood Pressure</v>
      </c>
      <c r="N141">
        <f>VLOOKUP(patients[[#This Row],[PatientID]],labs[],4)</f>
        <v>100</v>
      </c>
    </row>
    <row r="142" spans="1:14" x14ac:dyDescent="0.3">
      <c r="A142">
        <v>141</v>
      </c>
      <c r="B142" t="s">
        <v>152</v>
      </c>
      <c r="C142">
        <v>71</v>
      </c>
      <c r="D142" t="s">
        <v>11</v>
      </c>
      <c r="E142">
        <v>5</v>
      </c>
      <c r="F142" t="str">
        <f>VLOOKUP(patients[[#This Row],[DiagnosisID]],diagnoses[#All],2)</f>
        <v>Stroke</v>
      </c>
      <c r="G142" s="1">
        <v>45806</v>
      </c>
      <c r="H142" s="1">
        <v>45809</v>
      </c>
      <c r="I142" s="2">
        <f>_xlfn.DAYS(patients[[#This Row],[DischargeDate]],patients[[#This Row],[AdmissionDate]])</f>
        <v>3</v>
      </c>
      <c r="J142">
        <v>2</v>
      </c>
      <c r="K142" t="str">
        <f>VLOOKUP(patients[[#This Row],[OutcomeID]],outcomes[],2)</f>
        <v>Complicated</v>
      </c>
      <c r="L142">
        <v>5057</v>
      </c>
      <c r="M142" t="str">
        <f>VLOOKUP(patients[[#This Row],[PatientID]],labs[[LabID]:[TestName]],3)</f>
        <v>Blood Sugar</v>
      </c>
      <c r="N142">
        <f>VLOOKUP(patients[[#This Row],[PatientID]],labs[],4)</f>
        <v>91.9</v>
      </c>
    </row>
    <row r="143" spans="1:14" x14ac:dyDescent="0.3">
      <c r="A143">
        <v>142</v>
      </c>
      <c r="B143" t="s">
        <v>153</v>
      </c>
      <c r="C143">
        <v>68</v>
      </c>
      <c r="D143" t="s">
        <v>15</v>
      </c>
      <c r="E143">
        <v>1</v>
      </c>
      <c r="F143" t="str">
        <f>VLOOKUP(patients[[#This Row],[DiagnosisID]],diagnoses[#All],2)</f>
        <v>Hypertension</v>
      </c>
      <c r="G143" s="1">
        <v>45737</v>
      </c>
      <c r="H143" s="1">
        <v>45746</v>
      </c>
      <c r="I143" s="2">
        <f>_xlfn.DAYS(patients[[#This Row],[DischargeDate]],patients[[#This Row],[AdmissionDate]])</f>
        <v>9</v>
      </c>
      <c r="J143">
        <v>3</v>
      </c>
      <c r="K143" t="str">
        <f>VLOOKUP(patients[[#This Row],[OutcomeID]],outcomes[],2)</f>
        <v>Deceased</v>
      </c>
      <c r="L143">
        <v>6289</v>
      </c>
      <c r="M143" t="str">
        <f>VLOOKUP(patients[[#This Row],[PatientID]],labs[[LabID]:[TestName]],3)</f>
        <v>Blood Pressure</v>
      </c>
      <c r="N143">
        <f>VLOOKUP(patients[[#This Row],[PatientID]],labs[],4)</f>
        <v>76.099999999999994</v>
      </c>
    </row>
    <row r="144" spans="1:14" x14ac:dyDescent="0.3">
      <c r="A144">
        <v>143</v>
      </c>
      <c r="B144" t="s">
        <v>154</v>
      </c>
      <c r="C144">
        <v>87</v>
      </c>
      <c r="D144" t="s">
        <v>11</v>
      </c>
      <c r="E144">
        <v>7</v>
      </c>
      <c r="F144" t="str">
        <f>VLOOKUP(patients[[#This Row],[DiagnosisID]],diagnoses[#All],2)</f>
        <v>Cancer</v>
      </c>
      <c r="G144" s="1">
        <v>45775</v>
      </c>
      <c r="H144" s="1">
        <v>45779</v>
      </c>
      <c r="I144" s="2">
        <f>_xlfn.DAYS(patients[[#This Row],[DischargeDate]],patients[[#This Row],[AdmissionDate]])</f>
        <v>4</v>
      </c>
      <c r="J144">
        <v>3</v>
      </c>
      <c r="K144" t="str">
        <f>VLOOKUP(patients[[#This Row],[OutcomeID]],outcomes[],2)</f>
        <v>Deceased</v>
      </c>
      <c r="L144">
        <v>8645</v>
      </c>
      <c r="M144" t="str">
        <f>VLOOKUP(patients[[#This Row],[PatientID]],labs[[LabID]:[TestName]],3)</f>
        <v>Blood Pressure</v>
      </c>
      <c r="N144">
        <f>VLOOKUP(patients[[#This Row],[PatientID]],labs[],4)</f>
        <v>209.1</v>
      </c>
    </row>
    <row r="145" spans="1:14" x14ac:dyDescent="0.3">
      <c r="A145">
        <v>144</v>
      </c>
      <c r="B145" t="s">
        <v>155</v>
      </c>
      <c r="C145">
        <v>70</v>
      </c>
      <c r="D145" t="s">
        <v>11</v>
      </c>
      <c r="E145">
        <v>5</v>
      </c>
      <c r="F145" t="str">
        <f>VLOOKUP(patients[[#This Row],[DiagnosisID]],diagnoses[#All],2)</f>
        <v>Stroke</v>
      </c>
      <c r="G145" s="1">
        <v>45821</v>
      </c>
      <c r="H145" s="1">
        <v>45824</v>
      </c>
      <c r="I145" s="2">
        <f>_xlfn.DAYS(patients[[#This Row],[DischargeDate]],patients[[#This Row],[AdmissionDate]])</f>
        <v>3</v>
      </c>
      <c r="J145">
        <v>3</v>
      </c>
      <c r="K145" t="str">
        <f>VLOOKUP(patients[[#This Row],[OutcomeID]],outcomes[],2)</f>
        <v>Deceased</v>
      </c>
      <c r="L145">
        <v>7083</v>
      </c>
      <c r="M145" t="str">
        <f>VLOOKUP(patients[[#This Row],[PatientID]],labs[[LabID]:[TestName]],3)</f>
        <v>Hemoglobin</v>
      </c>
      <c r="N145">
        <f>VLOOKUP(patients[[#This Row],[PatientID]],labs[],4)</f>
        <v>226.6</v>
      </c>
    </row>
    <row r="146" spans="1:14" x14ac:dyDescent="0.3">
      <c r="A146">
        <v>145</v>
      </c>
      <c r="B146" t="s">
        <v>156</v>
      </c>
      <c r="C146">
        <v>57</v>
      </c>
      <c r="D146" t="s">
        <v>15</v>
      </c>
      <c r="E146">
        <v>6</v>
      </c>
      <c r="F146" t="str">
        <f>VLOOKUP(patients[[#This Row],[DiagnosisID]],diagnoses[#All],2)</f>
        <v>COPD</v>
      </c>
      <c r="G146" s="1">
        <v>45804</v>
      </c>
      <c r="H146" s="1">
        <v>45812</v>
      </c>
      <c r="I146" s="2">
        <f>_xlfn.DAYS(patients[[#This Row],[DischargeDate]],patients[[#This Row],[AdmissionDate]])</f>
        <v>8</v>
      </c>
      <c r="J146">
        <v>2</v>
      </c>
      <c r="K146" t="str">
        <f>VLOOKUP(patients[[#This Row],[OutcomeID]],outcomes[],2)</f>
        <v>Complicated</v>
      </c>
      <c r="L146">
        <v>7232</v>
      </c>
      <c r="M146" t="str">
        <f>VLOOKUP(patients[[#This Row],[PatientID]],labs[[LabID]:[TestName]],3)</f>
        <v>Vitamin D</v>
      </c>
      <c r="N146">
        <f>VLOOKUP(patients[[#This Row],[PatientID]],labs[],4)</f>
        <v>57.9</v>
      </c>
    </row>
    <row r="147" spans="1:14" x14ac:dyDescent="0.3">
      <c r="A147">
        <v>146</v>
      </c>
      <c r="B147" t="s">
        <v>157</v>
      </c>
      <c r="C147">
        <v>36</v>
      </c>
      <c r="D147" t="s">
        <v>11</v>
      </c>
      <c r="E147">
        <v>7</v>
      </c>
      <c r="F147" t="str">
        <f>VLOOKUP(patients[[#This Row],[DiagnosisID]],diagnoses[#All],2)</f>
        <v>Cancer</v>
      </c>
      <c r="G147" s="1">
        <v>45677</v>
      </c>
      <c r="H147" s="1">
        <v>45765</v>
      </c>
      <c r="I147" s="2">
        <f>_xlfn.DAYS(patients[[#This Row],[DischargeDate]],patients[[#This Row],[AdmissionDate]])</f>
        <v>88</v>
      </c>
      <c r="J147">
        <v>3</v>
      </c>
      <c r="K147" t="str">
        <f>VLOOKUP(patients[[#This Row],[OutcomeID]],outcomes[],2)</f>
        <v>Deceased</v>
      </c>
      <c r="L147">
        <v>4161</v>
      </c>
      <c r="M147" t="str">
        <f>VLOOKUP(patients[[#This Row],[PatientID]],labs[[LabID]:[TestName]],3)</f>
        <v>Blood Sugar</v>
      </c>
      <c r="N147">
        <f>VLOOKUP(patients[[#This Row],[PatientID]],labs[],4)</f>
        <v>284.10000000000002</v>
      </c>
    </row>
    <row r="148" spans="1:14" x14ac:dyDescent="0.3">
      <c r="A148">
        <v>147</v>
      </c>
      <c r="B148" t="s">
        <v>158</v>
      </c>
      <c r="C148">
        <v>38</v>
      </c>
      <c r="D148" t="s">
        <v>11</v>
      </c>
      <c r="E148">
        <v>3</v>
      </c>
      <c r="F148" t="str">
        <f>VLOOKUP(patients[[#This Row],[DiagnosisID]],diagnoses[#All],2)</f>
        <v>Heart Disease</v>
      </c>
      <c r="G148" s="1">
        <v>45803</v>
      </c>
      <c r="H148" s="1">
        <v>45846</v>
      </c>
      <c r="I148" s="2">
        <f>_xlfn.DAYS(patients[[#This Row],[DischargeDate]],patients[[#This Row],[AdmissionDate]])</f>
        <v>43</v>
      </c>
      <c r="J148">
        <v>3</v>
      </c>
      <c r="K148" t="str">
        <f>VLOOKUP(patients[[#This Row],[OutcomeID]],outcomes[],2)</f>
        <v>Deceased</v>
      </c>
      <c r="L148">
        <v>5293</v>
      </c>
      <c r="M148" t="str">
        <f>VLOOKUP(patients[[#This Row],[PatientID]],labs[[LabID]:[TestName]],3)</f>
        <v>Blood Pressure</v>
      </c>
      <c r="N148">
        <f>VLOOKUP(patients[[#This Row],[PatientID]],labs[],4)</f>
        <v>63</v>
      </c>
    </row>
    <row r="149" spans="1:14" x14ac:dyDescent="0.3">
      <c r="A149">
        <v>148</v>
      </c>
      <c r="B149" t="s">
        <v>159</v>
      </c>
      <c r="C149">
        <v>37</v>
      </c>
      <c r="D149" t="s">
        <v>15</v>
      </c>
      <c r="E149">
        <v>10</v>
      </c>
      <c r="F149" t="str">
        <f>VLOOKUP(patients[[#This Row],[DiagnosisID]],diagnoses[#All],2)</f>
        <v>Liver Disease</v>
      </c>
      <c r="G149" s="1">
        <v>45704</v>
      </c>
      <c r="H149" s="1">
        <v>45713</v>
      </c>
      <c r="I149" s="2">
        <f>_xlfn.DAYS(patients[[#This Row],[DischargeDate]],patients[[#This Row],[AdmissionDate]])</f>
        <v>9</v>
      </c>
      <c r="J149">
        <v>1</v>
      </c>
      <c r="K149" t="str">
        <f>VLOOKUP(patients[[#This Row],[OutcomeID]],outcomes[],2)</f>
        <v>Recovered</v>
      </c>
      <c r="L149">
        <v>7797</v>
      </c>
      <c r="M149" t="str">
        <f>VLOOKUP(patients[[#This Row],[PatientID]],labs[[LabID]:[TestName]],3)</f>
        <v>Blood Sugar</v>
      </c>
      <c r="N149">
        <f>VLOOKUP(patients[[#This Row],[PatientID]],labs[],4)</f>
        <v>185.3</v>
      </c>
    </row>
    <row r="150" spans="1:14" x14ac:dyDescent="0.3">
      <c r="A150">
        <v>149</v>
      </c>
      <c r="B150" t="s">
        <v>160</v>
      </c>
      <c r="C150">
        <v>41</v>
      </c>
      <c r="D150" t="s">
        <v>15</v>
      </c>
      <c r="E150">
        <v>3</v>
      </c>
      <c r="F150" t="str">
        <f>VLOOKUP(patients[[#This Row],[DiagnosisID]],diagnoses[#All],2)</f>
        <v>Heart Disease</v>
      </c>
      <c r="G150" s="1">
        <v>45706</v>
      </c>
      <c r="H150" s="1">
        <v>45793</v>
      </c>
      <c r="I150" s="2">
        <f>_xlfn.DAYS(patients[[#This Row],[DischargeDate]],patients[[#This Row],[AdmissionDate]])</f>
        <v>87</v>
      </c>
      <c r="J150">
        <v>1</v>
      </c>
      <c r="K150" t="str">
        <f>VLOOKUP(patients[[#This Row],[OutcomeID]],outcomes[],2)</f>
        <v>Recovered</v>
      </c>
      <c r="L150">
        <v>2946</v>
      </c>
      <c r="M150" t="str">
        <f>VLOOKUP(patients[[#This Row],[PatientID]],labs[[LabID]:[TestName]],3)</f>
        <v>Cholesterol</v>
      </c>
      <c r="N150">
        <f>VLOOKUP(patients[[#This Row],[PatientID]],labs[],4)</f>
        <v>227.3</v>
      </c>
    </row>
    <row r="151" spans="1:14" x14ac:dyDescent="0.3">
      <c r="A151">
        <v>150</v>
      </c>
      <c r="B151" t="s">
        <v>161</v>
      </c>
      <c r="C151">
        <v>63</v>
      </c>
      <c r="D151" t="s">
        <v>11</v>
      </c>
      <c r="E151">
        <v>5</v>
      </c>
      <c r="F151" t="str">
        <f>VLOOKUP(patients[[#This Row],[DiagnosisID]],diagnoses[#All],2)</f>
        <v>Stroke</v>
      </c>
      <c r="G151" s="1">
        <v>45671</v>
      </c>
      <c r="H151" s="1">
        <v>45722</v>
      </c>
      <c r="I151" s="2">
        <f>_xlfn.DAYS(patients[[#This Row],[DischargeDate]],patients[[#This Row],[AdmissionDate]])</f>
        <v>51</v>
      </c>
      <c r="J151">
        <v>2</v>
      </c>
      <c r="K151" t="str">
        <f>VLOOKUP(patients[[#This Row],[OutcomeID]],outcomes[],2)</f>
        <v>Complicated</v>
      </c>
      <c r="L151">
        <v>6926</v>
      </c>
      <c r="M151" t="str">
        <f>VLOOKUP(patients[[#This Row],[PatientID]],labs[[LabID]:[TestName]],3)</f>
        <v>Hemoglobin</v>
      </c>
      <c r="N151">
        <f>VLOOKUP(patients[[#This Row],[PatientID]],labs[],4)</f>
        <v>267.7</v>
      </c>
    </row>
    <row r="152" spans="1:14" x14ac:dyDescent="0.3">
      <c r="A152">
        <v>151</v>
      </c>
      <c r="B152" t="s">
        <v>162</v>
      </c>
      <c r="C152">
        <v>62</v>
      </c>
      <c r="D152" t="s">
        <v>11</v>
      </c>
      <c r="E152">
        <v>6</v>
      </c>
      <c r="F152" t="str">
        <f>VLOOKUP(patients[[#This Row],[DiagnosisID]],diagnoses[#All],2)</f>
        <v>COPD</v>
      </c>
      <c r="G152" s="1">
        <v>45800</v>
      </c>
      <c r="H152" s="1">
        <v>45807</v>
      </c>
      <c r="I152" s="2">
        <f>_xlfn.DAYS(patients[[#This Row],[DischargeDate]],patients[[#This Row],[AdmissionDate]])</f>
        <v>7</v>
      </c>
      <c r="J152">
        <v>3</v>
      </c>
      <c r="K152" t="str">
        <f>VLOOKUP(patients[[#This Row],[OutcomeID]],outcomes[],2)</f>
        <v>Deceased</v>
      </c>
      <c r="L152">
        <v>9811</v>
      </c>
      <c r="M152" t="str">
        <f>VLOOKUP(patients[[#This Row],[PatientID]],labs[[LabID]:[TestName]],3)</f>
        <v>Cholesterol</v>
      </c>
      <c r="N152">
        <f>VLOOKUP(patients[[#This Row],[PatientID]],labs[],4)</f>
        <v>228.5</v>
      </c>
    </row>
    <row r="153" spans="1:14" x14ac:dyDescent="0.3">
      <c r="A153">
        <v>152</v>
      </c>
      <c r="B153" t="s">
        <v>163</v>
      </c>
      <c r="C153">
        <v>77</v>
      </c>
      <c r="D153" t="s">
        <v>15</v>
      </c>
      <c r="E153">
        <v>9</v>
      </c>
      <c r="F153" t="str">
        <f>VLOOKUP(patients[[#This Row],[DiagnosisID]],diagnoses[#All],2)</f>
        <v>Kidney Disease</v>
      </c>
      <c r="G153" s="1">
        <v>45816</v>
      </c>
      <c r="H153" s="1">
        <v>45821</v>
      </c>
      <c r="I153" s="2">
        <f>_xlfn.DAYS(patients[[#This Row],[DischargeDate]],patients[[#This Row],[AdmissionDate]])</f>
        <v>5</v>
      </c>
      <c r="J153">
        <v>3</v>
      </c>
      <c r="K153" t="str">
        <f>VLOOKUP(patients[[#This Row],[OutcomeID]],outcomes[],2)</f>
        <v>Deceased</v>
      </c>
      <c r="L153">
        <v>8016</v>
      </c>
      <c r="M153" t="str">
        <f>VLOOKUP(patients[[#This Row],[PatientID]],labs[[LabID]:[TestName]],3)</f>
        <v>Blood Sugar</v>
      </c>
      <c r="N153">
        <f>VLOOKUP(patients[[#This Row],[PatientID]],labs[],4)</f>
        <v>250.4</v>
      </c>
    </row>
    <row r="154" spans="1:14" x14ac:dyDescent="0.3">
      <c r="A154">
        <v>153</v>
      </c>
      <c r="B154" t="s">
        <v>164</v>
      </c>
      <c r="C154">
        <v>84</v>
      </c>
      <c r="D154" t="s">
        <v>15</v>
      </c>
      <c r="E154">
        <v>5</v>
      </c>
      <c r="F154" t="str">
        <f>VLOOKUP(patients[[#This Row],[DiagnosisID]],diagnoses[#All],2)</f>
        <v>Stroke</v>
      </c>
      <c r="G154" s="1">
        <v>45658</v>
      </c>
      <c r="H154" s="1">
        <v>45744</v>
      </c>
      <c r="I154" s="2">
        <f>_xlfn.DAYS(patients[[#This Row],[DischargeDate]],patients[[#This Row],[AdmissionDate]])</f>
        <v>86</v>
      </c>
      <c r="J154">
        <v>1</v>
      </c>
      <c r="K154" t="str">
        <f>VLOOKUP(patients[[#This Row],[OutcomeID]],outcomes[],2)</f>
        <v>Recovered</v>
      </c>
      <c r="L154">
        <v>5335</v>
      </c>
      <c r="M154" t="str">
        <f>VLOOKUP(patients[[#This Row],[PatientID]],labs[[LabID]:[TestName]],3)</f>
        <v>Blood Sugar</v>
      </c>
      <c r="N154">
        <f>VLOOKUP(patients[[#This Row],[PatientID]],labs[],4)</f>
        <v>134.9</v>
      </c>
    </row>
    <row r="155" spans="1:14" x14ac:dyDescent="0.3">
      <c r="A155">
        <v>154</v>
      </c>
      <c r="B155" t="s">
        <v>165</v>
      </c>
      <c r="C155">
        <v>52</v>
      </c>
      <c r="D155" t="s">
        <v>15</v>
      </c>
      <c r="E155">
        <v>1</v>
      </c>
      <c r="F155" t="str">
        <f>VLOOKUP(patients[[#This Row],[DiagnosisID]],diagnoses[#All],2)</f>
        <v>Hypertension</v>
      </c>
      <c r="G155" s="1">
        <v>45774</v>
      </c>
      <c r="H155" s="1">
        <v>45796</v>
      </c>
      <c r="I155" s="2">
        <f>_xlfn.DAYS(patients[[#This Row],[DischargeDate]],patients[[#This Row],[AdmissionDate]])</f>
        <v>22</v>
      </c>
      <c r="J155">
        <v>2</v>
      </c>
      <c r="K155" t="str">
        <f>VLOOKUP(patients[[#This Row],[OutcomeID]],outcomes[],2)</f>
        <v>Complicated</v>
      </c>
      <c r="L155">
        <v>9068</v>
      </c>
      <c r="M155" t="str">
        <f>VLOOKUP(patients[[#This Row],[PatientID]],labs[[LabID]:[TestName]],3)</f>
        <v>Vitamin D</v>
      </c>
      <c r="N155">
        <f>VLOOKUP(patients[[#This Row],[PatientID]],labs[],4)</f>
        <v>253.7</v>
      </c>
    </row>
    <row r="156" spans="1:14" x14ac:dyDescent="0.3">
      <c r="A156">
        <v>155</v>
      </c>
      <c r="B156" t="s">
        <v>166</v>
      </c>
      <c r="C156">
        <v>53</v>
      </c>
      <c r="D156" t="s">
        <v>15</v>
      </c>
      <c r="E156">
        <v>4</v>
      </c>
      <c r="F156" t="str">
        <f>VLOOKUP(patients[[#This Row],[DiagnosisID]],diagnoses[#All],2)</f>
        <v>Asthma</v>
      </c>
      <c r="G156" s="1">
        <v>45711</v>
      </c>
      <c r="H156" s="1">
        <v>45775</v>
      </c>
      <c r="I156" s="2">
        <f>_xlfn.DAYS(patients[[#This Row],[DischargeDate]],patients[[#This Row],[AdmissionDate]])</f>
        <v>64</v>
      </c>
      <c r="J156">
        <v>1</v>
      </c>
      <c r="K156" t="str">
        <f>VLOOKUP(patients[[#This Row],[OutcomeID]],outcomes[],2)</f>
        <v>Recovered</v>
      </c>
      <c r="L156">
        <v>6150</v>
      </c>
      <c r="M156" t="str">
        <f>VLOOKUP(patients[[#This Row],[PatientID]],labs[[LabID]:[TestName]],3)</f>
        <v>Blood Pressure</v>
      </c>
      <c r="N156">
        <f>VLOOKUP(patients[[#This Row],[PatientID]],labs[],4)</f>
        <v>70</v>
      </c>
    </row>
    <row r="157" spans="1:14" x14ac:dyDescent="0.3">
      <c r="A157">
        <v>156</v>
      </c>
      <c r="B157" t="s">
        <v>167</v>
      </c>
      <c r="C157">
        <v>66</v>
      </c>
      <c r="D157" t="s">
        <v>11</v>
      </c>
      <c r="E157">
        <v>5</v>
      </c>
      <c r="F157" t="str">
        <f>VLOOKUP(patients[[#This Row],[DiagnosisID]],diagnoses[#All],2)</f>
        <v>Stroke</v>
      </c>
      <c r="G157" s="1">
        <v>45775</v>
      </c>
      <c r="H157" s="1">
        <v>45820</v>
      </c>
      <c r="I157" s="2">
        <f>_xlfn.DAYS(patients[[#This Row],[DischargeDate]],patients[[#This Row],[AdmissionDate]])</f>
        <v>45</v>
      </c>
      <c r="J157">
        <v>1</v>
      </c>
      <c r="K157" t="str">
        <f>VLOOKUP(patients[[#This Row],[OutcomeID]],outcomes[],2)</f>
        <v>Recovered</v>
      </c>
      <c r="L157">
        <v>9810</v>
      </c>
      <c r="M157" t="str">
        <f>VLOOKUP(patients[[#This Row],[PatientID]],labs[[LabID]:[TestName]],3)</f>
        <v>Blood Pressure</v>
      </c>
      <c r="N157">
        <f>VLOOKUP(patients[[#This Row],[PatientID]],labs[],4)</f>
        <v>273.7</v>
      </c>
    </row>
    <row r="158" spans="1:14" x14ac:dyDescent="0.3">
      <c r="A158">
        <v>157</v>
      </c>
      <c r="B158" t="s">
        <v>168</v>
      </c>
      <c r="C158">
        <v>64</v>
      </c>
      <c r="D158" t="s">
        <v>15</v>
      </c>
      <c r="E158">
        <v>10</v>
      </c>
      <c r="F158" t="str">
        <f>VLOOKUP(patients[[#This Row],[DiagnosisID]],diagnoses[#All],2)</f>
        <v>Liver Disease</v>
      </c>
      <c r="G158" s="1">
        <v>45660</v>
      </c>
      <c r="H158" s="1">
        <v>45680</v>
      </c>
      <c r="I158" s="2">
        <f>_xlfn.DAYS(patients[[#This Row],[DischargeDate]],patients[[#This Row],[AdmissionDate]])</f>
        <v>20</v>
      </c>
      <c r="J158">
        <v>1</v>
      </c>
      <c r="K158" t="str">
        <f>VLOOKUP(patients[[#This Row],[OutcomeID]],outcomes[],2)</f>
        <v>Recovered</v>
      </c>
      <c r="L158">
        <v>6895</v>
      </c>
      <c r="M158" t="str">
        <f>VLOOKUP(patients[[#This Row],[PatientID]],labs[[LabID]:[TestName]],3)</f>
        <v>Cholesterol</v>
      </c>
      <c r="N158">
        <f>VLOOKUP(patients[[#This Row],[PatientID]],labs[],4)</f>
        <v>186.9</v>
      </c>
    </row>
    <row r="159" spans="1:14" x14ac:dyDescent="0.3">
      <c r="A159">
        <v>158</v>
      </c>
      <c r="B159" t="s">
        <v>169</v>
      </c>
      <c r="C159">
        <v>73</v>
      </c>
      <c r="D159" t="s">
        <v>15</v>
      </c>
      <c r="E159">
        <v>10</v>
      </c>
      <c r="F159" t="str">
        <f>VLOOKUP(patients[[#This Row],[DiagnosisID]],diagnoses[#All],2)</f>
        <v>Liver Disease</v>
      </c>
      <c r="G159" s="1">
        <v>45801</v>
      </c>
      <c r="H159" s="1">
        <v>45810</v>
      </c>
      <c r="I159" s="2">
        <f>_xlfn.DAYS(patients[[#This Row],[DischargeDate]],patients[[#This Row],[AdmissionDate]])</f>
        <v>9</v>
      </c>
      <c r="J159">
        <v>1</v>
      </c>
      <c r="K159" t="str">
        <f>VLOOKUP(patients[[#This Row],[OutcomeID]],outcomes[],2)</f>
        <v>Recovered</v>
      </c>
      <c r="L159">
        <v>6873</v>
      </c>
      <c r="M159" t="str">
        <f>VLOOKUP(patients[[#This Row],[PatientID]],labs[[LabID]:[TestName]],3)</f>
        <v>Hemoglobin</v>
      </c>
      <c r="N159">
        <f>VLOOKUP(patients[[#This Row],[PatientID]],labs[],4)</f>
        <v>254.3</v>
      </c>
    </row>
    <row r="160" spans="1:14" x14ac:dyDescent="0.3">
      <c r="A160">
        <v>159</v>
      </c>
      <c r="B160" t="s">
        <v>170</v>
      </c>
      <c r="C160">
        <v>69</v>
      </c>
      <c r="D160" t="s">
        <v>11</v>
      </c>
      <c r="E160">
        <v>5</v>
      </c>
      <c r="F160" t="str">
        <f>VLOOKUP(patients[[#This Row],[DiagnosisID]],diagnoses[#All],2)</f>
        <v>Stroke</v>
      </c>
      <c r="G160" s="1">
        <v>45669</v>
      </c>
      <c r="H160" s="1">
        <v>45781</v>
      </c>
      <c r="I160" s="2">
        <f>_xlfn.DAYS(patients[[#This Row],[DischargeDate]],patients[[#This Row],[AdmissionDate]])</f>
        <v>112</v>
      </c>
      <c r="J160">
        <v>3</v>
      </c>
      <c r="K160" t="str">
        <f>VLOOKUP(patients[[#This Row],[OutcomeID]],outcomes[],2)</f>
        <v>Deceased</v>
      </c>
      <c r="L160">
        <v>3481</v>
      </c>
      <c r="M160" t="str">
        <f>VLOOKUP(patients[[#This Row],[PatientID]],labs[[LabID]:[TestName]],3)</f>
        <v>Creatinine</v>
      </c>
      <c r="N160">
        <f>VLOOKUP(patients[[#This Row],[PatientID]],labs[],4)</f>
        <v>163.1</v>
      </c>
    </row>
    <row r="161" spans="1:14" x14ac:dyDescent="0.3">
      <c r="A161">
        <v>160</v>
      </c>
      <c r="B161" t="s">
        <v>171</v>
      </c>
      <c r="C161">
        <v>51</v>
      </c>
      <c r="D161" t="s">
        <v>15</v>
      </c>
      <c r="E161">
        <v>7</v>
      </c>
      <c r="F161" t="str">
        <f>VLOOKUP(patients[[#This Row],[DiagnosisID]],diagnoses[#All],2)</f>
        <v>Cancer</v>
      </c>
      <c r="G161" s="1">
        <v>45731</v>
      </c>
      <c r="H161" s="1">
        <v>45735</v>
      </c>
      <c r="I161" s="2">
        <f>_xlfn.DAYS(patients[[#This Row],[DischargeDate]],patients[[#This Row],[AdmissionDate]])</f>
        <v>4</v>
      </c>
      <c r="J161">
        <v>3</v>
      </c>
      <c r="K161" t="str">
        <f>VLOOKUP(patients[[#This Row],[OutcomeID]],outcomes[],2)</f>
        <v>Deceased</v>
      </c>
      <c r="L161">
        <v>3901</v>
      </c>
      <c r="M161" t="str">
        <f>VLOOKUP(patients[[#This Row],[PatientID]],labs[[LabID]:[TestName]],3)</f>
        <v>Blood Pressure</v>
      </c>
      <c r="N161">
        <f>VLOOKUP(patients[[#This Row],[PatientID]],labs[],4)</f>
        <v>210.9</v>
      </c>
    </row>
    <row r="162" spans="1:14" x14ac:dyDescent="0.3">
      <c r="A162">
        <v>161</v>
      </c>
      <c r="B162" t="s">
        <v>172</v>
      </c>
      <c r="C162">
        <v>56</v>
      </c>
      <c r="D162" t="s">
        <v>11</v>
      </c>
      <c r="E162">
        <v>4</v>
      </c>
      <c r="F162" t="str">
        <f>VLOOKUP(patients[[#This Row],[DiagnosisID]],diagnoses[#All],2)</f>
        <v>Asthma</v>
      </c>
      <c r="G162" s="1">
        <v>45673</v>
      </c>
      <c r="H162" s="1">
        <v>45679</v>
      </c>
      <c r="I162" s="2">
        <f>_xlfn.DAYS(patients[[#This Row],[DischargeDate]],patients[[#This Row],[AdmissionDate]])</f>
        <v>6</v>
      </c>
      <c r="J162">
        <v>1</v>
      </c>
      <c r="K162" t="str">
        <f>VLOOKUP(patients[[#This Row],[OutcomeID]],outcomes[],2)</f>
        <v>Recovered</v>
      </c>
      <c r="L162">
        <v>8305</v>
      </c>
      <c r="M162" t="str">
        <f>VLOOKUP(patients[[#This Row],[PatientID]],labs[[LabID]:[TestName]],3)</f>
        <v>Vitamin D</v>
      </c>
      <c r="N162">
        <f>VLOOKUP(patients[[#This Row],[PatientID]],labs[],4)</f>
        <v>181.6</v>
      </c>
    </row>
    <row r="163" spans="1:14" x14ac:dyDescent="0.3">
      <c r="A163">
        <v>162</v>
      </c>
      <c r="B163" t="s">
        <v>173</v>
      </c>
      <c r="C163">
        <v>64</v>
      </c>
      <c r="D163" t="s">
        <v>15</v>
      </c>
      <c r="E163">
        <v>1</v>
      </c>
      <c r="F163" t="str">
        <f>VLOOKUP(patients[[#This Row],[DiagnosisID]],diagnoses[#All],2)</f>
        <v>Hypertension</v>
      </c>
      <c r="G163" s="1">
        <v>45759</v>
      </c>
      <c r="H163" s="1">
        <v>45777</v>
      </c>
      <c r="I163" s="2">
        <f>_xlfn.DAYS(patients[[#This Row],[DischargeDate]],patients[[#This Row],[AdmissionDate]])</f>
        <v>18</v>
      </c>
      <c r="J163">
        <v>2</v>
      </c>
      <c r="K163" t="str">
        <f>VLOOKUP(patients[[#This Row],[OutcomeID]],outcomes[],2)</f>
        <v>Complicated</v>
      </c>
      <c r="L163">
        <v>5451</v>
      </c>
      <c r="M163" t="str">
        <f>VLOOKUP(patients[[#This Row],[PatientID]],labs[[LabID]:[TestName]],3)</f>
        <v>Cholesterol</v>
      </c>
      <c r="N163">
        <f>VLOOKUP(patients[[#This Row],[PatientID]],labs[],4)</f>
        <v>232.9</v>
      </c>
    </row>
    <row r="164" spans="1:14" x14ac:dyDescent="0.3">
      <c r="A164">
        <v>163</v>
      </c>
      <c r="B164" t="s">
        <v>174</v>
      </c>
      <c r="C164">
        <v>30</v>
      </c>
      <c r="D164" t="s">
        <v>15</v>
      </c>
      <c r="E164">
        <v>5</v>
      </c>
      <c r="F164" t="str">
        <f>VLOOKUP(patients[[#This Row],[DiagnosisID]],diagnoses[#All],2)</f>
        <v>Stroke</v>
      </c>
      <c r="G164" s="1">
        <v>45809</v>
      </c>
      <c r="H164" s="1">
        <v>45817</v>
      </c>
      <c r="I164" s="2">
        <f>_xlfn.DAYS(patients[[#This Row],[DischargeDate]],patients[[#This Row],[AdmissionDate]])</f>
        <v>8</v>
      </c>
      <c r="J164">
        <v>2</v>
      </c>
      <c r="K164" t="str">
        <f>VLOOKUP(patients[[#This Row],[OutcomeID]],outcomes[],2)</f>
        <v>Complicated</v>
      </c>
      <c r="L164">
        <v>6064</v>
      </c>
      <c r="M164" t="str">
        <f>VLOOKUP(patients[[#This Row],[PatientID]],labs[[LabID]:[TestName]],3)</f>
        <v>Cholesterol</v>
      </c>
      <c r="N164">
        <f>VLOOKUP(patients[[#This Row],[PatientID]],labs[],4)</f>
        <v>70.400000000000006</v>
      </c>
    </row>
    <row r="165" spans="1:14" x14ac:dyDescent="0.3">
      <c r="A165">
        <v>164</v>
      </c>
      <c r="B165" t="s">
        <v>175</v>
      </c>
      <c r="C165">
        <v>64</v>
      </c>
      <c r="D165" t="s">
        <v>15</v>
      </c>
      <c r="E165">
        <v>7</v>
      </c>
      <c r="F165" t="str">
        <f>VLOOKUP(patients[[#This Row],[DiagnosisID]],diagnoses[#All],2)</f>
        <v>Cancer</v>
      </c>
      <c r="G165" s="1">
        <v>45813</v>
      </c>
      <c r="H165" s="1">
        <v>45814</v>
      </c>
      <c r="I165" s="2">
        <f>_xlfn.DAYS(patients[[#This Row],[DischargeDate]],patients[[#This Row],[AdmissionDate]])</f>
        <v>1</v>
      </c>
      <c r="J165">
        <v>2</v>
      </c>
      <c r="K165" t="str">
        <f>VLOOKUP(patients[[#This Row],[OutcomeID]],outcomes[],2)</f>
        <v>Complicated</v>
      </c>
      <c r="L165">
        <v>8230</v>
      </c>
      <c r="M165" t="str">
        <f>VLOOKUP(patients[[#This Row],[PatientID]],labs[[LabID]:[TestName]],3)</f>
        <v>Creatinine</v>
      </c>
      <c r="N165">
        <f>VLOOKUP(patients[[#This Row],[PatientID]],labs[],4)</f>
        <v>65.099999999999994</v>
      </c>
    </row>
    <row r="166" spans="1:14" x14ac:dyDescent="0.3">
      <c r="A166">
        <v>165</v>
      </c>
      <c r="B166" t="s">
        <v>176</v>
      </c>
      <c r="C166">
        <v>66</v>
      </c>
      <c r="D166" t="s">
        <v>11</v>
      </c>
      <c r="E166">
        <v>10</v>
      </c>
      <c r="F166" t="str">
        <f>VLOOKUP(patients[[#This Row],[DiagnosisID]],diagnoses[#All],2)</f>
        <v>Liver Disease</v>
      </c>
      <c r="G166" s="1">
        <v>45774</v>
      </c>
      <c r="H166" s="1">
        <v>45778</v>
      </c>
      <c r="I166" s="2">
        <f>_xlfn.DAYS(patients[[#This Row],[DischargeDate]],patients[[#This Row],[AdmissionDate]])</f>
        <v>4</v>
      </c>
      <c r="J166">
        <v>2</v>
      </c>
      <c r="K166" t="str">
        <f>VLOOKUP(patients[[#This Row],[OutcomeID]],outcomes[],2)</f>
        <v>Complicated</v>
      </c>
      <c r="L166">
        <v>2054</v>
      </c>
      <c r="M166" t="str">
        <f>VLOOKUP(patients[[#This Row],[PatientID]],labs[[LabID]:[TestName]],3)</f>
        <v>Vitamin D</v>
      </c>
      <c r="N166">
        <f>VLOOKUP(patients[[#This Row],[PatientID]],labs[],4)</f>
        <v>111.8</v>
      </c>
    </row>
    <row r="167" spans="1:14" x14ac:dyDescent="0.3">
      <c r="A167">
        <v>166</v>
      </c>
      <c r="B167" t="s">
        <v>177</v>
      </c>
      <c r="C167">
        <v>76</v>
      </c>
      <c r="D167" t="s">
        <v>11</v>
      </c>
      <c r="E167">
        <v>10</v>
      </c>
      <c r="F167" t="str">
        <f>VLOOKUP(patients[[#This Row],[DiagnosisID]],diagnoses[#All],2)</f>
        <v>Liver Disease</v>
      </c>
      <c r="G167" s="1">
        <v>45665</v>
      </c>
      <c r="H167" s="1">
        <v>45704</v>
      </c>
      <c r="I167" s="2">
        <f>_xlfn.DAYS(patients[[#This Row],[DischargeDate]],patients[[#This Row],[AdmissionDate]])</f>
        <v>39</v>
      </c>
      <c r="J167">
        <v>1</v>
      </c>
      <c r="K167" t="str">
        <f>VLOOKUP(patients[[#This Row],[OutcomeID]],outcomes[],2)</f>
        <v>Recovered</v>
      </c>
      <c r="L167">
        <v>9643</v>
      </c>
      <c r="M167" t="str">
        <f>VLOOKUP(patients[[#This Row],[PatientID]],labs[[LabID]:[TestName]],3)</f>
        <v>Hemoglobin</v>
      </c>
      <c r="N167">
        <f>VLOOKUP(patients[[#This Row],[PatientID]],labs[],4)</f>
        <v>89.9</v>
      </c>
    </row>
    <row r="168" spans="1:14" x14ac:dyDescent="0.3">
      <c r="A168">
        <v>167</v>
      </c>
      <c r="B168" t="s">
        <v>178</v>
      </c>
      <c r="C168">
        <v>43</v>
      </c>
      <c r="D168" t="s">
        <v>15</v>
      </c>
      <c r="E168">
        <v>6</v>
      </c>
      <c r="F168" t="str">
        <f>VLOOKUP(patients[[#This Row],[DiagnosisID]],diagnoses[#All],2)</f>
        <v>COPD</v>
      </c>
      <c r="G168" s="1">
        <v>45779</v>
      </c>
      <c r="H168" s="1">
        <v>45781</v>
      </c>
      <c r="I168" s="2">
        <f>_xlfn.DAYS(patients[[#This Row],[DischargeDate]],patients[[#This Row],[AdmissionDate]])</f>
        <v>2</v>
      </c>
      <c r="J168">
        <v>3</v>
      </c>
      <c r="K168" t="str">
        <f>VLOOKUP(patients[[#This Row],[OutcomeID]],outcomes[],2)</f>
        <v>Deceased</v>
      </c>
      <c r="L168">
        <v>3823</v>
      </c>
      <c r="M168" t="str">
        <f>VLOOKUP(patients[[#This Row],[PatientID]],labs[[LabID]:[TestName]],3)</f>
        <v>Vitamin D</v>
      </c>
      <c r="N168">
        <f>VLOOKUP(patients[[#This Row],[PatientID]],labs[],4)</f>
        <v>267.89999999999998</v>
      </c>
    </row>
    <row r="169" spans="1:14" x14ac:dyDescent="0.3">
      <c r="A169">
        <v>168</v>
      </c>
      <c r="B169" t="s">
        <v>179</v>
      </c>
      <c r="C169">
        <v>32</v>
      </c>
      <c r="D169" t="s">
        <v>11</v>
      </c>
      <c r="E169">
        <v>5</v>
      </c>
      <c r="F169" t="str">
        <f>VLOOKUP(patients[[#This Row],[DiagnosisID]],diagnoses[#All],2)</f>
        <v>Stroke</v>
      </c>
      <c r="G169" s="1">
        <v>45749</v>
      </c>
      <c r="H169" s="1">
        <v>45750</v>
      </c>
      <c r="I169" s="2">
        <f>_xlfn.DAYS(patients[[#This Row],[DischargeDate]],patients[[#This Row],[AdmissionDate]])</f>
        <v>1</v>
      </c>
      <c r="J169">
        <v>2</v>
      </c>
      <c r="K169" t="str">
        <f>VLOOKUP(patients[[#This Row],[OutcomeID]],outcomes[],2)</f>
        <v>Complicated</v>
      </c>
      <c r="L169">
        <v>7297</v>
      </c>
      <c r="M169" t="str">
        <f>VLOOKUP(patients[[#This Row],[PatientID]],labs[[LabID]:[TestName]],3)</f>
        <v>Hemoglobin</v>
      </c>
      <c r="N169">
        <f>VLOOKUP(patients[[#This Row],[PatientID]],labs[],4)</f>
        <v>104.8</v>
      </c>
    </row>
    <row r="170" spans="1:14" x14ac:dyDescent="0.3">
      <c r="A170">
        <v>169</v>
      </c>
      <c r="B170" t="s">
        <v>180</v>
      </c>
      <c r="C170">
        <v>30</v>
      </c>
      <c r="D170" t="s">
        <v>11</v>
      </c>
      <c r="E170">
        <v>4</v>
      </c>
      <c r="F170" t="str">
        <f>VLOOKUP(patients[[#This Row],[DiagnosisID]],diagnoses[#All],2)</f>
        <v>Asthma</v>
      </c>
      <c r="G170" s="1">
        <v>45821</v>
      </c>
      <c r="H170" s="1">
        <v>45827</v>
      </c>
      <c r="I170" s="2">
        <f>_xlfn.DAYS(patients[[#This Row],[DischargeDate]],patients[[#This Row],[AdmissionDate]])</f>
        <v>6</v>
      </c>
      <c r="J170">
        <v>1</v>
      </c>
      <c r="K170" t="str">
        <f>VLOOKUP(patients[[#This Row],[OutcomeID]],outcomes[],2)</f>
        <v>Recovered</v>
      </c>
      <c r="L170">
        <v>5462</v>
      </c>
      <c r="M170" t="str">
        <f>VLOOKUP(patients[[#This Row],[PatientID]],labs[[LabID]:[TestName]],3)</f>
        <v>Vitamin D</v>
      </c>
      <c r="N170">
        <f>VLOOKUP(patients[[#This Row],[PatientID]],labs[],4)</f>
        <v>294</v>
      </c>
    </row>
    <row r="171" spans="1:14" x14ac:dyDescent="0.3">
      <c r="A171">
        <v>170</v>
      </c>
      <c r="B171" t="s">
        <v>181</v>
      </c>
      <c r="C171">
        <v>34</v>
      </c>
      <c r="D171" t="s">
        <v>11</v>
      </c>
      <c r="E171">
        <v>2</v>
      </c>
      <c r="F171" t="str">
        <f>VLOOKUP(patients[[#This Row],[DiagnosisID]],diagnoses[#All],2)</f>
        <v>Diabetes</v>
      </c>
      <c r="G171" s="1">
        <v>45747</v>
      </c>
      <c r="H171" s="1">
        <v>45754</v>
      </c>
      <c r="I171" s="2">
        <f>_xlfn.DAYS(patients[[#This Row],[DischargeDate]],patients[[#This Row],[AdmissionDate]])</f>
        <v>7</v>
      </c>
      <c r="J171">
        <v>2</v>
      </c>
      <c r="K171" t="str">
        <f>VLOOKUP(patients[[#This Row],[OutcomeID]],outcomes[],2)</f>
        <v>Complicated</v>
      </c>
      <c r="L171">
        <v>9516</v>
      </c>
      <c r="M171" t="str">
        <f>VLOOKUP(patients[[#This Row],[PatientID]],labs[[LabID]:[TestName]],3)</f>
        <v>Vitamin D</v>
      </c>
      <c r="N171">
        <f>VLOOKUP(patients[[#This Row],[PatientID]],labs[],4)</f>
        <v>134.19999999999999</v>
      </c>
    </row>
    <row r="172" spans="1:14" x14ac:dyDescent="0.3">
      <c r="A172">
        <v>171</v>
      </c>
      <c r="B172" t="s">
        <v>182</v>
      </c>
      <c r="C172">
        <v>55</v>
      </c>
      <c r="D172" t="s">
        <v>11</v>
      </c>
      <c r="E172">
        <v>4</v>
      </c>
      <c r="F172" t="str">
        <f>VLOOKUP(patients[[#This Row],[DiagnosisID]],diagnoses[#All],2)</f>
        <v>Asthma</v>
      </c>
      <c r="G172" s="1">
        <v>45793</v>
      </c>
      <c r="H172" s="1">
        <v>45798</v>
      </c>
      <c r="I172" s="2">
        <f>_xlfn.DAYS(patients[[#This Row],[DischargeDate]],patients[[#This Row],[AdmissionDate]])</f>
        <v>5</v>
      </c>
      <c r="J172">
        <v>2</v>
      </c>
      <c r="K172" t="str">
        <f>VLOOKUP(patients[[#This Row],[OutcomeID]],outcomes[],2)</f>
        <v>Complicated</v>
      </c>
      <c r="L172">
        <v>5079</v>
      </c>
      <c r="M172" t="str">
        <f>VLOOKUP(patients[[#This Row],[PatientID]],labs[[LabID]:[TestName]],3)</f>
        <v>Blood Sugar</v>
      </c>
      <c r="N172">
        <f>VLOOKUP(patients[[#This Row],[PatientID]],labs[],4)</f>
        <v>95.5</v>
      </c>
    </row>
    <row r="173" spans="1:14" x14ac:dyDescent="0.3">
      <c r="A173">
        <v>172</v>
      </c>
      <c r="B173" t="s">
        <v>183</v>
      </c>
      <c r="C173">
        <v>84</v>
      </c>
      <c r="D173" t="s">
        <v>11</v>
      </c>
      <c r="E173">
        <v>10</v>
      </c>
      <c r="F173" t="str">
        <f>VLOOKUP(patients[[#This Row],[DiagnosisID]],diagnoses[#All],2)</f>
        <v>Liver Disease</v>
      </c>
      <c r="G173" s="1">
        <v>45717</v>
      </c>
      <c r="H173" s="1">
        <v>45719</v>
      </c>
      <c r="I173" s="2">
        <f>_xlfn.DAYS(patients[[#This Row],[DischargeDate]],patients[[#This Row],[AdmissionDate]])</f>
        <v>2</v>
      </c>
      <c r="J173">
        <v>1</v>
      </c>
      <c r="K173" t="str">
        <f>VLOOKUP(patients[[#This Row],[OutcomeID]],outcomes[],2)</f>
        <v>Recovered</v>
      </c>
      <c r="L173">
        <v>2832</v>
      </c>
      <c r="M173" t="str">
        <f>VLOOKUP(patients[[#This Row],[PatientID]],labs[[LabID]:[TestName]],3)</f>
        <v>Cholesterol</v>
      </c>
      <c r="N173">
        <f>VLOOKUP(patients[[#This Row],[PatientID]],labs[],4)</f>
        <v>247.4</v>
      </c>
    </row>
    <row r="174" spans="1:14" x14ac:dyDescent="0.3">
      <c r="A174">
        <v>173</v>
      </c>
      <c r="B174" t="s">
        <v>184</v>
      </c>
      <c r="C174">
        <v>43</v>
      </c>
      <c r="D174" t="s">
        <v>11</v>
      </c>
      <c r="E174">
        <v>10</v>
      </c>
      <c r="F174" t="str">
        <f>VLOOKUP(patients[[#This Row],[DiagnosisID]],diagnoses[#All],2)</f>
        <v>Liver Disease</v>
      </c>
      <c r="G174" s="1">
        <v>45835</v>
      </c>
      <c r="H174" s="1">
        <v>45839</v>
      </c>
      <c r="I174" s="2">
        <f>_xlfn.DAYS(patients[[#This Row],[DischargeDate]],patients[[#This Row],[AdmissionDate]])</f>
        <v>4</v>
      </c>
      <c r="J174">
        <v>3</v>
      </c>
      <c r="K174" t="str">
        <f>VLOOKUP(patients[[#This Row],[OutcomeID]],outcomes[],2)</f>
        <v>Deceased</v>
      </c>
      <c r="L174">
        <v>6408</v>
      </c>
      <c r="M174" t="str">
        <f>VLOOKUP(patients[[#This Row],[PatientID]],labs[[LabID]:[TestName]],3)</f>
        <v>Vitamin D</v>
      </c>
      <c r="N174">
        <f>VLOOKUP(patients[[#This Row],[PatientID]],labs[],4)</f>
        <v>214.7</v>
      </c>
    </row>
    <row r="175" spans="1:14" x14ac:dyDescent="0.3">
      <c r="A175">
        <v>174</v>
      </c>
      <c r="B175" t="s">
        <v>185</v>
      </c>
      <c r="C175">
        <v>68</v>
      </c>
      <c r="D175" t="s">
        <v>15</v>
      </c>
      <c r="E175">
        <v>3</v>
      </c>
      <c r="F175" t="str">
        <f>VLOOKUP(patients[[#This Row],[DiagnosisID]],diagnoses[#All],2)</f>
        <v>Heart Disease</v>
      </c>
      <c r="G175" s="1">
        <v>45685</v>
      </c>
      <c r="H175" s="1">
        <v>45792</v>
      </c>
      <c r="I175" s="2">
        <f>_xlfn.DAYS(patients[[#This Row],[DischargeDate]],patients[[#This Row],[AdmissionDate]])</f>
        <v>107</v>
      </c>
      <c r="J175">
        <v>3</v>
      </c>
      <c r="K175" t="str">
        <f>VLOOKUP(patients[[#This Row],[OutcomeID]],outcomes[],2)</f>
        <v>Deceased</v>
      </c>
      <c r="L175">
        <v>4806</v>
      </c>
      <c r="M175" t="str">
        <f>VLOOKUP(patients[[#This Row],[PatientID]],labs[[LabID]:[TestName]],3)</f>
        <v>Creatinine</v>
      </c>
      <c r="N175">
        <f>VLOOKUP(patients[[#This Row],[PatientID]],labs[],4)</f>
        <v>174.5</v>
      </c>
    </row>
    <row r="176" spans="1:14" x14ac:dyDescent="0.3">
      <c r="A176">
        <v>175</v>
      </c>
      <c r="B176" t="s">
        <v>186</v>
      </c>
      <c r="C176">
        <v>56</v>
      </c>
      <c r="D176" t="s">
        <v>15</v>
      </c>
      <c r="E176">
        <v>10</v>
      </c>
      <c r="F176" t="str">
        <f>VLOOKUP(patients[[#This Row],[DiagnosisID]],diagnoses[#All],2)</f>
        <v>Liver Disease</v>
      </c>
      <c r="G176" s="1">
        <v>45758</v>
      </c>
      <c r="H176" s="1">
        <v>45768</v>
      </c>
      <c r="I176" s="2">
        <f>_xlfn.DAYS(patients[[#This Row],[DischargeDate]],patients[[#This Row],[AdmissionDate]])</f>
        <v>10</v>
      </c>
      <c r="J176">
        <v>1</v>
      </c>
      <c r="K176" t="str">
        <f>VLOOKUP(patients[[#This Row],[OutcomeID]],outcomes[],2)</f>
        <v>Recovered</v>
      </c>
      <c r="L176">
        <v>7954</v>
      </c>
      <c r="M176" t="str">
        <f>VLOOKUP(patients[[#This Row],[PatientID]],labs[[LabID]:[TestName]],3)</f>
        <v>Vitamin D</v>
      </c>
      <c r="N176">
        <f>VLOOKUP(patients[[#This Row],[PatientID]],labs[],4)</f>
        <v>188.8</v>
      </c>
    </row>
    <row r="177" spans="1:14" x14ac:dyDescent="0.3">
      <c r="A177">
        <v>176</v>
      </c>
      <c r="B177" t="s">
        <v>187</v>
      </c>
      <c r="C177">
        <v>38</v>
      </c>
      <c r="D177" t="s">
        <v>11</v>
      </c>
      <c r="E177">
        <v>1</v>
      </c>
      <c r="F177" t="str">
        <f>VLOOKUP(patients[[#This Row],[DiagnosisID]],diagnoses[#All],2)</f>
        <v>Hypertension</v>
      </c>
      <c r="G177" s="1">
        <v>45698</v>
      </c>
      <c r="H177" s="1">
        <v>45704</v>
      </c>
      <c r="I177" s="2">
        <f>_xlfn.DAYS(patients[[#This Row],[DischargeDate]],patients[[#This Row],[AdmissionDate]])</f>
        <v>6</v>
      </c>
      <c r="J177">
        <v>3</v>
      </c>
      <c r="K177" t="str">
        <f>VLOOKUP(patients[[#This Row],[OutcomeID]],outcomes[],2)</f>
        <v>Deceased</v>
      </c>
      <c r="L177">
        <v>8103</v>
      </c>
      <c r="M177" t="str">
        <f>VLOOKUP(patients[[#This Row],[PatientID]],labs[[LabID]:[TestName]],3)</f>
        <v>Blood Pressure</v>
      </c>
      <c r="N177">
        <f>VLOOKUP(patients[[#This Row],[PatientID]],labs[],4)</f>
        <v>229.8</v>
      </c>
    </row>
    <row r="178" spans="1:14" x14ac:dyDescent="0.3">
      <c r="A178">
        <v>177</v>
      </c>
      <c r="B178" t="s">
        <v>188</v>
      </c>
      <c r="C178">
        <v>44</v>
      </c>
      <c r="D178" t="s">
        <v>15</v>
      </c>
      <c r="E178">
        <v>8</v>
      </c>
      <c r="F178" t="str">
        <f>VLOOKUP(patients[[#This Row],[DiagnosisID]],diagnoses[#All],2)</f>
        <v>Arthritis</v>
      </c>
      <c r="G178" s="1">
        <v>45812</v>
      </c>
      <c r="H178" s="1">
        <v>45816</v>
      </c>
      <c r="I178" s="2">
        <f>_xlfn.DAYS(patients[[#This Row],[DischargeDate]],patients[[#This Row],[AdmissionDate]])</f>
        <v>4</v>
      </c>
      <c r="J178">
        <v>1</v>
      </c>
      <c r="K178" t="str">
        <f>VLOOKUP(patients[[#This Row],[OutcomeID]],outcomes[],2)</f>
        <v>Recovered</v>
      </c>
      <c r="L178">
        <v>8102</v>
      </c>
      <c r="M178" t="str">
        <f>VLOOKUP(patients[[#This Row],[PatientID]],labs[[LabID]:[TestName]],3)</f>
        <v>Cholesterol</v>
      </c>
      <c r="N178">
        <f>VLOOKUP(patients[[#This Row],[PatientID]],labs[],4)</f>
        <v>107.1</v>
      </c>
    </row>
    <row r="179" spans="1:14" x14ac:dyDescent="0.3">
      <c r="A179">
        <v>178</v>
      </c>
      <c r="B179" t="s">
        <v>189</v>
      </c>
      <c r="C179">
        <v>44</v>
      </c>
      <c r="D179" t="s">
        <v>15</v>
      </c>
      <c r="E179">
        <v>5</v>
      </c>
      <c r="F179" t="str">
        <f>VLOOKUP(patients[[#This Row],[DiagnosisID]],diagnoses[#All],2)</f>
        <v>Stroke</v>
      </c>
      <c r="G179" s="1">
        <v>45802</v>
      </c>
      <c r="H179" s="1">
        <v>45810</v>
      </c>
      <c r="I179" s="2">
        <f>_xlfn.DAYS(patients[[#This Row],[DischargeDate]],patients[[#This Row],[AdmissionDate]])</f>
        <v>8</v>
      </c>
      <c r="J179">
        <v>1</v>
      </c>
      <c r="K179" t="str">
        <f>VLOOKUP(patients[[#This Row],[OutcomeID]],outcomes[],2)</f>
        <v>Recovered</v>
      </c>
      <c r="L179">
        <v>4490</v>
      </c>
      <c r="M179" t="str">
        <f>VLOOKUP(patients[[#This Row],[PatientID]],labs[[LabID]:[TestName]],3)</f>
        <v>Blood Pressure</v>
      </c>
      <c r="N179">
        <f>VLOOKUP(patients[[#This Row],[PatientID]],labs[],4)</f>
        <v>299.10000000000002</v>
      </c>
    </row>
    <row r="180" spans="1:14" x14ac:dyDescent="0.3">
      <c r="A180">
        <v>179</v>
      </c>
      <c r="B180" t="s">
        <v>190</v>
      </c>
      <c r="C180">
        <v>55</v>
      </c>
      <c r="D180" t="s">
        <v>15</v>
      </c>
      <c r="E180">
        <v>4</v>
      </c>
      <c r="F180" t="str">
        <f>VLOOKUP(patients[[#This Row],[DiagnosisID]],diagnoses[#All],2)</f>
        <v>Asthma</v>
      </c>
      <c r="G180" s="1">
        <v>45818</v>
      </c>
      <c r="H180" s="1">
        <v>45825</v>
      </c>
      <c r="I180" s="2">
        <f>_xlfn.DAYS(patients[[#This Row],[DischargeDate]],patients[[#This Row],[AdmissionDate]])</f>
        <v>7</v>
      </c>
      <c r="J180">
        <v>1</v>
      </c>
      <c r="K180" t="str">
        <f>VLOOKUP(patients[[#This Row],[OutcomeID]],outcomes[],2)</f>
        <v>Recovered</v>
      </c>
      <c r="L180">
        <v>7886</v>
      </c>
      <c r="M180" t="str">
        <f>VLOOKUP(patients[[#This Row],[PatientID]],labs[[LabID]:[TestName]],3)</f>
        <v>Cholesterol</v>
      </c>
      <c r="N180">
        <f>VLOOKUP(patients[[#This Row],[PatientID]],labs[],4)</f>
        <v>293.7</v>
      </c>
    </row>
    <row r="181" spans="1:14" x14ac:dyDescent="0.3">
      <c r="A181">
        <v>180</v>
      </c>
      <c r="B181" t="s">
        <v>191</v>
      </c>
      <c r="C181">
        <v>71</v>
      </c>
      <c r="D181" t="s">
        <v>15</v>
      </c>
      <c r="E181">
        <v>8</v>
      </c>
      <c r="F181" t="str">
        <f>VLOOKUP(patients[[#This Row],[DiagnosisID]],diagnoses[#All],2)</f>
        <v>Arthritis</v>
      </c>
      <c r="G181" s="1">
        <v>45814</v>
      </c>
      <c r="H181" s="1">
        <v>45822</v>
      </c>
      <c r="I181" s="2">
        <f>_xlfn.DAYS(patients[[#This Row],[DischargeDate]],patients[[#This Row],[AdmissionDate]])</f>
        <v>8</v>
      </c>
      <c r="J181">
        <v>3</v>
      </c>
      <c r="K181" t="str">
        <f>VLOOKUP(patients[[#This Row],[OutcomeID]],outcomes[],2)</f>
        <v>Deceased</v>
      </c>
      <c r="L181">
        <v>2327</v>
      </c>
      <c r="M181" t="str">
        <f>VLOOKUP(patients[[#This Row],[PatientID]],labs[[LabID]:[TestName]],3)</f>
        <v>Blood Pressure</v>
      </c>
      <c r="N181">
        <f>VLOOKUP(patients[[#This Row],[PatientID]],labs[],4)</f>
        <v>212.6</v>
      </c>
    </row>
    <row r="182" spans="1:14" x14ac:dyDescent="0.3">
      <c r="A182">
        <v>181</v>
      </c>
      <c r="B182" t="s">
        <v>192</v>
      </c>
      <c r="C182">
        <v>89</v>
      </c>
      <c r="D182" t="s">
        <v>11</v>
      </c>
      <c r="E182">
        <v>7</v>
      </c>
      <c r="F182" t="str">
        <f>VLOOKUP(patients[[#This Row],[DiagnosisID]],diagnoses[#All],2)</f>
        <v>Cancer</v>
      </c>
      <c r="G182" s="1">
        <v>45798</v>
      </c>
      <c r="H182" s="1">
        <v>45804</v>
      </c>
      <c r="I182" s="2">
        <f>_xlfn.DAYS(patients[[#This Row],[DischargeDate]],patients[[#This Row],[AdmissionDate]])</f>
        <v>6</v>
      </c>
      <c r="J182">
        <v>1</v>
      </c>
      <c r="K182" t="str">
        <f>VLOOKUP(patients[[#This Row],[OutcomeID]],outcomes[],2)</f>
        <v>Recovered</v>
      </c>
      <c r="L182">
        <v>9221</v>
      </c>
      <c r="M182" t="str">
        <f>VLOOKUP(patients[[#This Row],[PatientID]],labs[[LabID]:[TestName]],3)</f>
        <v>Vitamin D</v>
      </c>
      <c r="N182">
        <f>VLOOKUP(patients[[#This Row],[PatientID]],labs[],4)</f>
        <v>99.9</v>
      </c>
    </row>
    <row r="183" spans="1:14" x14ac:dyDescent="0.3">
      <c r="A183">
        <v>182</v>
      </c>
      <c r="B183" t="s">
        <v>193</v>
      </c>
      <c r="C183">
        <v>42</v>
      </c>
      <c r="D183" t="s">
        <v>15</v>
      </c>
      <c r="E183">
        <v>2</v>
      </c>
      <c r="F183" t="str">
        <f>VLOOKUP(patients[[#This Row],[DiagnosisID]],diagnoses[#All],2)</f>
        <v>Diabetes</v>
      </c>
      <c r="G183" s="1">
        <v>45703</v>
      </c>
      <c r="H183" s="1">
        <v>45733</v>
      </c>
      <c r="I183" s="2">
        <f>_xlfn.DAYS(patients[[#This Row],[DischargeDate]],patients[[#This Row],[AdmissionDate]])</f>
        <v>30</v>
      </c>
      <c r="J183">
        <v>2</v>
      </c>
      <c r="K183" t="str">
        <f>VLOOKUP(patients[[#This Row],[OutcomeID]],outcomes[],2)</f>
        <v>Complicated</v>
      </c>
      <c r="L183">
        <v>8904</v>
      </c>
      <c r="M183" t="str">
        <f>VLOOKUP(patients[[#This Row],[PatientID]],labs[[LabID]:[TestName]],3)</f>
        <v>Vitamin D</v>
      </c>
      <c r="N183">
        <f>VLOOKUP(patients[[#This Row],[PatientID]],labs[],4)</f>
        <v>220.1</v>
      </c>
    </row>
    <row r="184" spans="1:14" x14ac:dyDescent="0.3">
      <c r="A184">
        <v>183</v>
      </c>
      <c r="B184" t="s">
        <v>194</v>
      </c>
      <c r="C184">
        <v>80</v>
      </c>
      <c r="D184" t="s">
        <v>15</v>
      </c>
      <c r="E184">
        <v>1</v>
      </c>
      <c r="F184" t="str">
        <f>VLOOKUP(patients[[#This Row],[DiagnosisID]],diagnoses[#All],2)</f>
        <v>Hypertension</v>
      </c>
      <c r="G184" s="1">
        <v>45692</v>
      </c>
      <c r="H184" s="1">
        <v>45775</v>
      </c>
      <c r="I184" s="2">
        <f>_xlfn.DAYS(patients[[#This Row],[DischargeDate]],patients[[#This Row],[AdmissionDate]])</f>
        <v>83</v>
      </c>
      <c r="J184">
        <v>3</v>
      </c>
      <c r="K184" t="str">
        <f>VLOOKUP(patients[[#This Row],[OutcomeID]],outcomes[],2)</f>
        <v>Deceased</v>
      </c>
      <c r="L184">
        <v>5310</v>
      </c>
      <c r="M184" t="str">
        <f>VLOOKUP(patients[[#This Row],[PatientID]],labs[[LabID]:[TestName]],3)</f>
        <v>Blood Sugar</v>
      </c>
      <c r="N184">
        <f>VLOOKUP(patients[[#This Row],[PatientID]],labs[],4)</f>
        <v>68</v>
      </c>
    </row>
    <row r="185" spans="1:14" x14ac:dyDescent="0.3">
      <c r="A185">
        <v>184</v>
      </c>
      <c r="B185" t="s">
        <v>195</v>
      </c>
      <c r="C185">
        <v>61</v>
      </c>
      <c r="D185" t="s">
        <v>11</v>
      </c>
      <c r="E185">
        <v>4</v>
      </c>
      <c r="F185" t="str">
        <f>VLOOKUP(patients[[#This Row],[DiagnosisID]],diagnoses[#All],2)</f>
        <v>Asthma</v>
      </c>
      <c r="G185" s="1">
        <v>45791</v>
      </c>
      <c r="H185" s="1">
        <v>45812</v>
      </c>
      <c r="I185" s="2">
        <f>_xlfn.DAYS(patients[[#This Row],[DischargeDate]],patients[[#This Row],[AdmissionDate]])</f>
        <v>21</v>
      </c>
      <c r="J185">
        <v>3</v>
      </c>
      <c r="K185" t="str">
        <f>VLOOKUP(patients[[#This Row],[OutcomeID]],outcomes[],2)</f>
        <v>Deceased</v>
      </c>
      <c r="L185">
        <v>5300</v>
      </c>
      <c r="M185" t="str">
        <f>VLOOKUP(patients[[#This Row],[PatientID]],labs[[LabID]:[TestName]],3)</f>
        <v>Creatinine</v>
      </c>
      <c r="N185">
        <f>VLOOKUP(patients[[#This Row],[PatientID]],labs[],4)</f>
        <v>57.7</v>
      </c>
    </row>
    <row r="186" spans="1:14" x14ac:dyDescent="0.3">
      <c r="A186">
        <v>185</v>
      </c>
      <c r="B186" t="s">
        <v>196</v>
      </c>
      <c r="C186">
        <v>68</v>
      </c>
      <c r="D186" t="s">
        <v>11</v>
      </c>
      <c r="E186">
        <v>8</v>
      </c>
      <c r="F186" t="str">
        <f>VLOOKUP(patients[[#This Row],[DiagnosisID]],diagnoses[#All],2)</f>
        <v>Arthritis</v>
      </c>
      <c r="G186" s="1">
        <v>45739</v>
      </c>
      <c r="H186" s="1">
        <v>45777</v>
      </c>
      <c r="I186" s="2">
        <f>_xlfn.DAYS(patients[[#This Row],[DischargeDate]],patients[[#This Row],[AdmissionDate]])</f>
        <v>38</v>
      </c>
      <c r="J186">
        <v>3</v>
      </c>
      <c r="K186" t="str">
        <f>VLOOKUP(patients[[#This Row],[OutcomeID]],outcomes[],2)</f>
        <v>Deceased</v>
      </c>
      <c r="L186">
        <v>8722</v>
      </c>
      <c r="M186" t="str">
        <f>VLOOKUP(patients[[#This Row],[PatientID]],labs[[LabID]:[TestName]],3)</f>
        <v>Blood Pressure</v>
      </c>
      <c r="N186">
        <f>VLOOKUP(patients[[#This Row],[PatientID]],labs[],4)</f>
        <v>114.4</v>
      </c>
    </row>
    <row r="187" spans="1:14" x14ac:dyDescent="0.3">
      <c r="A187">
        <v>186</v>
      </c>
      <c r="B187" t="s">
        <v>197</v>
      </c>
      <c r="C187">
        <v>78</v>
      </c>
      <c r="D187" t="s">
        <v>15</v>
      </c>
      <c r="E187">
        <v>2</v>
      </c>
      <c r="F187" t="str">
        <f>VLOOKUP(patients[[#This Row],[DiagnosisID]],diagnoses[#All],2)</f>
        <v>Diabetes</v>
      </c>
      <c r="G187" s="1">
        <v>45772</v>
      </c>
      <c r="H187" s="1">
        <v>45777</v>
      </c>
      <c r="I187" s="2">
        <f>_xlfn.DAYS(patients[[#This Row],[DischargeDate]],patients[[#This Row],[AdmissionDate]])</f>
        <v>5</v>
      </c>
      <c r="J187">
        <v>3</v>
      </c>
      <c r="K187" t="str">
        <f>VLOOKUP(patients[[#This Row],[OutcomeID]],outcomes[],2)</f>
        <v>Deceased</v>
      </c>
      <c r="L187">
        <v>9218</v>
      </c>
      <c r="M187" t="str">
        <f>VLOOKUP(patients[[#This Row],[PatientID]],labs[[LabID]:[TestName]],3)</f>
        <v>Hemoglobin</v>
      </c>
      <c r="N187">
        <f>VLOOKUP(patients[[#This Row],[PatientID]],labs[],4)</f>
        <v>165.7</v>
      </c>
    </row>
    <row r="188" spans="1:14" x14ac:dyDescent="0.3">
      <c r="A188">
        <v>187</v>
      </c>
      <c r="B188" t="s">
        <v>198</v>
      </c>
      <c r="C188">
        <v>81</v>
      </c>
      <c r="D188" t="s">
        <v>15</v>
      </c>
      <c r="E188">
        <v>3</v>
      </c>
      <c r="F188" t="str">
        <f>VLOOKUP(patients[[#This Row],[DiagnosisID]],diagnoses[#All],2)</f>
        <v>Heart Disease</v>
      </c>
      <c r="G188" s="1">
        <v>45704</v>
      </c>
      <c r="H188" s="1">
        <v>45707</v>
      </c>
      <c r="I188" s="2">
        <f>_xlfn.DAYS(patients[[#This Row],[DischargeDate]],patients[[#This Row],[AdmissionDate]])</f>
        <v>3</v>
      </c>
      <c r="J188">
        <v>2</v>
      </c>
      <c r="K188" t="str">
        <f>VLOOKUP(patients[[#This Row],[OutcomeID]],outcomes[],2)</f>
        <v>Complicated</v>
      </c>
      <c r="L188">
        <v>9776</v>
      </c>
      <c r="M188" t="str">
        <f>VLOOKUP(patients[[#This Row],[PatientID]],labs[[LabID]:[TestName]],3)</f>
        <v>Blood Sugar</v>
      </c>
      <c r="N188">
        <f>VLOOKUP(patients[[#This Row],[PatientID]],labs[],4)</f>
        <v>267.10000000000002</v>
      </c>
    </row>
    <row r="189" spans="1:14" x14ac:dyDescent="0.3">
      <c r="A189">
        <v>188</v>
      </c>
      <c r="B189" t="s">
        <v>199</v>
      </c>
      <c r="C189">
        <v>61</v>
      </c>
      <c r="D189" t="s">
        <v>15</v>
      </c>
      <c r="E189">
        <v>1</v>
      </c>
      <c r="F189" t="str">
        <f>VLOOKUP(patients[[#This Row],[DiagnosisID]],diagnoses[#All],2)</f>
        <v>Hypertension</v>
      </c>
      <c r="G189" s="1">
        <v>45810</v>
      </c>
      <c r="H189" s="1">
        <v>45815</v>
      </c>
      <c r="I189" s="2">
        <f>_xlfn.DAYS(patients[[#This Row],[DischargeDate]],patients[[#This Row],[AdmissionDate]])</f>
        <v>5</v>
      </c>
      <c r="J189">
        <v>3</v>
      </c>
      <c r="K189" t="str">
        <f>VLOOKUP(patients[[#This Row],[OutcomeID]],outcomes[],2)</f>
        <v>Deceased</v>
      </c>
      <c r="L189">
        <v>5675</v>
      </c>
      <c r="M189" t="str">
        <f>VLOOKUP(patients[[#This Row],[PatientID]],labs[[LabID]:[TestName]],3)</f>
        <v>Blood Pressure</v>
      </c>
      <c r="N189">
        <f>VLOOKUP(patients[[#This Row],[PatientID]],labs[],4)</f>
        <v>231.8</v>
      </c>
    </row>
    <row r="190" spans="1:14" x14ac:dyDescent="0.3">
      <c r="A190">
        <v>189</v>
      </c>
      <c r="B190" t="s">
        <v>200</v>
      </c>
      <c r="C190">
        <v>33</v>
      </c>
      <c r="D190" t="s">
        <v>15</v>
      </c>
      <c r="E190">
        <v>1</v>
      </c>
      <c r="F190" t="str">
        <f>VLOOKUP(patients[[#This Row],[DiagnosisID]],diagnoses[#All],2)</f>
        <v>Hypertension</v>
      </c>
      <c r="G190" s="1">
        <v>45667</v>
      </c>
      <c r="H190" s="1">
        <v>45674</v>
      </c>
      <c r="I190" s="2">
        <f>_xlfn.DAYS(patients[[#This Row],[DischargeDate]],patients[[#This Row],[AdmissionDate]])</f>
        <v>7</v>
      </c>
      <c r="J190">
        <v>3</v>
      </c>
      <c r="K190" t="str">
        <f>VLOOKUP(patients[[#This Row],[OutcomeID]],outcomes[],2)</f>
        <v>Deceased</v>
      </c>
      <c r="L190">
        <v>5054</v>
      </c>
      <c r="M190" t="str">
        <f>VLOOKUP(patients[[#This Row],[PatientID]],labs[[LabID]:[TestName]],3)</f>
        <v>Blood Pressure</v>
      </c>
      <c r="N190">
        <f>VLOOKUP(patients[[#This Row],[PatientID]],labs[],4)</f>
        <v>235.7</v>
      </c>
    </row>
    <row r="191" spans="1:14" x14ac:dyDescent="0.3">
      <c r="A191">
        <v>190</v>
      </c>
      <c r="B191" t="s">
        <v>201</v>
      </c>
      <c r="C191">
        <v>59</v>
      </c>
      <c r="D191" t="s">
        <v>15</v>
      </c>
      <c r="E191">
        <v>3</v>
      </c>
      <c r="F191" t="str">
        <f>VLOOKUP(patients[[#This Row],[DiagnosisID]],diagnoses[#All],2)</f>
        <v>Heart Disease</v>
      </c>
      <c r="G191" s="1">
        <v>45713</v>
      </c>
      <c r="H191" s="1">
        <v>45834</v>
      </c>
      <c r="I191" s="2">
        <f>_xlfn.DAYS(patients[[#This Row],[DischargeDate]],patients[[#This Row],[AdmissionDate]])</f>
        <v>121</v>
      </c>
      <c r="J191">
        <v>1</v>
      </c>
      <c r="K191" t="str">
        <f>VLOOKUP(patients[[#This Row],[OutcomeID]],outcomes[],2)</f>
        <v>Recovered</v>
      </c>
      <c r="L191">
        <v>7383</v>
      </c>
      <c r="M191" t="str">
        <f>VLOOKUP(patients[[#This Row],[PatientID]],labs[[LabID]:[TestName]],3)</f>
        <v>Blood Sugar</v>
      </c>
      <c r="N191">
        <f>VLOOKUP(patients[[#This Row],[PatientID]],labs[],4)</f>
        <v>156.4</v>
      </c>
    </row>
    <row r="192" spans="1:14" x14ac:dyDescent="0.3">
      <c r="A192">
        <v>191</v>
      </c>
      <c r="B192" t="s">
        <v>202</v>
      </c>
      <c r="C192">
        <v>66</v>
      </c>
      <c r="D192" t="s">
        <v>15</v>
      </c>
      <c r="E192">
        <v>5</v>
      </c>
      <c r="F192" t="str">
        <f>VLOOKUP(patients[[#This Row],[DiagnosisID]],diagnoses[#All],2)</f>
        <v>Stroke</v>
      </c>
      <c r="G192" s="1">
        <v>45687</v>
      </c>
      <c r="H192" s="1">
        <v>45779</v>
      </c>
      <c r="I192" s="2">
        <f>_xlfn.DAYS(patients[[#This Row],[DischargeDate]],patients[[#This Row],[AdmissionDate]])</f>
        <v>92</v>
      </c>
      <c r="J192">
        <v>3</v>
      </c>
      <c r="K192" t="str">
        <f>VLOOKUP(patients[[#This Row],[OutcomeID]],outcomes[],2)</f>
        <v>Deceased</v>
      </c>
      <c r="L192">
        <v>9585</v>
      </c>
      <c r="M192" t="str">
        <f>VLOOKUP(patients[[#This Row],[PatientID]],labs[[LabID]:[TestName]],3)</f>
        <v>Vitamin D</v>
      </c>
      <c r="N192">
        <f>VLOOKUP(patients[[#This Row],[PatientID]],labs[],4)</f>
        <v>136.5</v>
      </c>
    </row>
    <row r="193" spans="1:14" x14ac:dyDescent="0.3">
      <c r="A193">
        <v>192</v>
      </c>
      <c r="B193" t="s">
        <v>203</v>
      </c>
      <c r="C193">
        <v>52</v>
      </c>
      <c r="D193" t="s">
        <v>11</v>
      </c>
      <c r="E193">
        <v>3</v>
      </c>
      <c r="F193" t="str">
        <f>VLOOKUP(patients[[#This Row],[DiagnosisID]],diagnoses[#All],2)</f>
        <v>Heart Disease</v>
      </c>
      <c r="G193" s="1">
        <v>45766</v>
      </c>
      <c r="H193" s="1">
        <v>45769</v>
      </c>
      <c r="I193" s="2">
        <f>_xlfn.DAYS(patients[[#This Row],[DischargeDate]],patients[[#This Row],[AdmissionDate]])</f>
        <v>3</v>
      </c>
      <c r="J193">
        <v>2</v>
      </c>
      <c r="K193" t="str">
        <f>VLOOKUP(patients[[#This Row],[OutcomeID]],outcomes[],2)</f>
        <v>Complicated</v>
      </c>
      <c r="L193">
        <v>9970</v>
      </c>
      <c r="M193" t="str">
        <f>VLOOKUP(patients[[#This Row],[PatientID]],labs[[LabID]:[TestName]],3)</f>
        <v>Blood Pressure</v>
      </c>
      <c r="N193">
        <f>VLOOKUP(patients[[#This Row],[PatientID]],labs[],4)</f>
        <v>142.80000000000001</v>
      </c>
    </row>
    <row r="194" spans="1:14" x14ac:dyDescent="0.3">
      <c r="A194">
        <v>193</v>
      </c>
      <c r="B194" t="s">
        <v>204</v>
      </c>
      <c r="C194">
        <v>68</v>
      </c>
      <c r="D194" t="s">
        <v>15</v>
      </c>
      <c r="E194">
        <v>1</v>
      </c>
      <c r="F194" t="str">
        <f>VLOOKUP(patients[[#This Row],[DiagnosisID]],diagnoses[#All],2)</f>
        <v>Hypertension</v>
      </c>
      <c r="G194" s="1">
        <v>45662</v>
      </c>
      <c r="H194" s="1">
        <v>45708</v>
      </c>
      <c r="I194" s="2">
        <f>_xlfn.DAYS(patients[[#This Row],[DischargeDate]],patients[[#This Row],[AdmissionDate]])</f>
        <v>46</v>
      </c>
      <c r="J194">
        <v>2</v>
      </c>
      <c r="K194" t="str">
        <f>VLOOKUP(patients[[#This Row],[OutcomeID]],outcomes[],2)</f>
        <v>Complicated</v>
      </c>
      <c r="L194">
        <v>4143</v>
      </c>
      <c r="M194" t="str">
        <f>VLOOKUP(patients[[#This Row],[PatientID]],labs[[LabID]:[TestName]],3)</f>
        <v>Vitamin D</v>
      </c>
      <c r="N194">
        <f>VLOOKUP(patients[[#This Row],[PatientID]],labs[],4)</f>
        <v>296.89999999999998</v>
      </c>
    </row>
    <row r="195" spans="1:14" x14ac:dyDescent="0.3">
      <c r="A195">
        <v>194</v>
      </c>
      <c r="B195" t="s">
        <v>205</v>
      </c>
      <c r="C195">
        <v>74</v>
      </c>
      <c r="D195" t="s">
        <v>15</v>
      </c>
      <c r="E195">
        <v>1</v>
      </c>
      <c r="F195" t="str">
        <f>VLOOKUP(patients[[#This Row],[DiagnosisID]],diagnoses[#All],2)</f>
        <v>Hypertension</v>
      </c>
      <c r="G195" s="1">
        <v>45776</v>
      </c>
      <c r="H195" s="1">
        <v>45835</v>
      </c>
      <c r="I195" s="2">
        <f>_xlfn.DAYS(patients[[#This Row],[DischargeDate]],patients[[#This Row],[AdmissionDate]])</f>
        <v>59</v>
      </c>
      <c r="J195">
        <v>2</v>
      </c>
      <c r="K195" t="str">
        <f>VLOOKUP(patients[[#This Row],[OutcomeID]],outcomes[],2)</f>
        <v>Complicated</v>
      </c>
      <c r="L195">
        <v>7207</v>
      </c>
      <c r="M195" t="str">
        <f>VLOOKUP(patients[[#This Row],[PatientID]],labs[[LabID]:[TestName]],3)</f>
        <v>Blood Sugar</v>
      </c>
      <c r="N195">
        <f>VLOOKUP(patients[[#This Row],[PatientID]],labs[],4)</f>
        <v>60</v>
      </c>
    </row>
    <row r="196" spans="1:14" x14ac:dyDescent="0.3">
      <c r="A196">
        <v>195</v>
      </c>
      <c r="B196" t="s">
        <v>206</v>
      </c>
      <c r="C196">
        <v>44</v>
      </c>
      <c r="D196" t="s">
        <v>11</v>
      </c>
      <c r="E196">
        <v>8</v>
      </c>
      <c r="F196" t="str">
        <f>VLOOKUP(patients[[#This Row],[DiagnosisID]],diagnoses[#All],2)</f>
        <v>Arthritis</v>
      </c>
      <c r="G196" s="1">
        <v>45690</v>
      </c>
      <c r="H196" s="1">
        <v>45767</v>
      </c>
      <c r="I196" s="2">
        <f>_xlfn.DAYS(patients[[#This Row],[DischargeDate]],patients[[#This Row],[AdmissionDate]])</f>
        <v>77</v>
      </c>
      <c r="J196">
        <v>2</v>
      </c>
      <c r="K196" t="str">
        <f>VLOOKUP(patients[[#This Row],[OutcomeID]],outcomes[],2)</f>
        <v>Complicated</v>
      </c>
      <c r="L196">
        <v>9245</v>
      </c>
      <c r="M196" t="str">
        <f>VLOOKUP(patients[[#This Row],[PatientID]],labs[[LabID]:[TestName]],3)</f>
        <v>Vitamin D</v>
      </c>
      <c r="N196">
        <f>VLOOKUP(patients[[#This Row],[PatientID]],labs[],4)</f>
        <v>266.8</v>
      </c>
    </row>
    <row r="197" spans="1:14" x14ac:dyDescent="0.3">
      <c r="A197">
        <v>196</v>
      </c>
      <c r="B197" t="s">
        <v>207</v>
      </c>
      <c r="C197">
        <v>72</v>
      </c>
      <c r="D197" t="s">
        <v>11</v>
      </c>
      <c r="E197">
        <v>10</v>
      </c>
      <c r="F197" t="str">
        <f>VLOOKUP(patients[[#This Row],[DiagnosisID]],diagnoses[#All],2)</f>
        <v>Liver Disease</v>
      </c>
      <c r="G197" s="1">
        <v>45775</v>
      </c>
      <c r="H197" s="1">
        <v>45779</v>
      </c>
      <c r="I197" s="2">
        <f>_xlfn.DAYS(patients[[#This Row],[DischargeDate]],patients[[#This Row],[AdmissionDate]])</f>
        <v>4</v>
      </c>
      <c r="J197">
        <v>3</v>
      </c>
      <c r="K197" t="str">
        <f>VLOOKUP(patients[[#This Row],[OutcomeID]],outcomes[],2)</f>
        <v>Deceased</v>
      </c>
      <c r="L197">
        <v>3311</v>
      </c>
      <c r="M197" t="str">
        <f>VLOOKUP(patients[[#This Row],[PatientID]],labs[[LabID]:[TestName]],3)</f>
        <v>Cholesterol</v>
      </c>
      <c r="N197">
        <f>VLOOKUP(patients[[#This Row],[PatientID]],labs[],4)</f>
        <v>194.7</v>
      </c>
    </row>
    <row r="198" spans="1:14" x14ac:dyDescent="0.3">
      <c r="A198">
        <v>197</v>
      </c>
      <c r="B198" t="s">
        <v>208</v>
      </c>
      <c r="C198">
        <v>58</v>
      </c>
      <c r="D198" t="s">
        <v>11</v>
      </c>
      <c r="E198">
        <v>2</v>
      </c>
      <c r="F198" t="str">
        <f>VLOOKUP(patients[[#This Row],[DiagnosisID]],diagnoses[#All],2)</f>
        <v>Diabetes</v>
      </c>
      <c r="G198" s="1">
        <v>45722</v>
      </c>
      <c r="H198" s="1">
        <v>45846</v>
      </c>
      <c r="I198" s="2">
        <f>_xlfn.DAYS(patients[[#This Row],[DischargeDate]],patients[[#This Row],[AdmissionDate]])</f>
        <v>124</v>
      </c>
      <c r="J198">
        <v>3</v>
      </c>
      <c r="K198" t="str">
        <f>VLOOKUP(patients[[#This Row],[OutcomeID]],outcomes[],2)</f>
        <v>Deceased</v>
      </c>
      <c r="L198">
        <v>5191</v>
      </c>
      <c r="M198" t="str">
        <f>VLOOKUP(patients[[#This Row],[PatientID]],labs[[LabID]:[TestName]],3)</f>
        <v>Hemoglobin</v>
      </c>
      <c r="N198">
        <f>VLOOKUP(patients[[#This Row],[PatientID]],labs[],4)</f>
        <v>159.69999999999999</v>
      </c>
    </row>
    <row r="199" spans="1:14" x14ac:dyDescent="0.3">
      <c r="A199">
        <v>198</v>
      </c>
      <c r="B199" t="s">
        <v>209</v>
      </c>
      <c r="C199">
        <v>65</v>
      </c>
      <c r="D199" t="s">
        <v>11</v>
      </c>
      <c r="E199">
        <v>3</v>
      </c>
      <c r="F199" t="str">
        <f>VLOOKUP(patients[[#This Row],[DiagnosisID]],diagnoses[#All],2)</f>
        <v>Heart Disease</v>
      </c>
      <c r="G199" s="1">
        <v>45803</v>
      </c>
      <c r="H199" s="1">
        <v>45812</v>
      </c>
      <c r="I199" s="2">
        <f>_xlfn.DAYS(patients[[#This Row],[DischargeDate]],patients[[#This Row],[AdmissionDate]])</f>
        <v>9</v>
      </c>
      <c r="J199">
        <v>2</v>
      </c>
      <c r="K199" t="str">
        <f>VLOOKUP(patients[[#This Row],[OutcomeID]],outcomes[],2)</f>
        <v>Complicated</v>
      </c>
      <c r="L199">
        <v>8957</v>
      </c>
      <c r="M199" t="str">
        <f>VLOOKUP(patients[[#This Row],[PatientID]],labs[[LabID]:[TestName]],3)</f>
        <v>Blood Pressure</v>
      </c>
      <c r="N199">
        <f>VLOOKUP(patients[[#This Row],[PatientID]],labs[],4)</f>
        <v>231.3</v>
      </c>
    </row>
    <row r="200" spans="1:14" x14ac:dyDescent="0.3">
      <c r="A200">
        <v>199</v>
      </c>
      <c r="B200" t="s">
        <v>210</v>
      </c>
      <c r="C200">
        <v>42</v>
      </c>
      <c r="D200" t="s">
        <v>15</v>
      </c>
      <c r="E200">
        <v>2</v>
      </c>
      <c r="F200" t="str">
        <f>VLOOKUP(patients[[#This Row],[DiagnosisID]],diagnoses[#All],2)</f>
        <v>Diabetes</v>
      </c>
      <c r="G200" s="1">
        <v>45834</v>
      </c>
      <c r="H200" s="1">
        <v>45843</v>
      </c>
      <c r="I200" s="2">
        <f>_xlfn.DAYS(patients[[#This Row],[DischargeDate]],patients[[#This Row],[AdmissionDate]])</f>
        <v>9</v>
      </c>
      <c r="J200">
        <v>2</v>
      </c>
      <c r="K200" t="str">
        <f>VLOOKUP(patients[[#This Row],[OutcomeID]],outcomes[],2)</f>
        <v>Complicated</v>
      </c>
      <c r="L200">
        <v>4538</v>
      </c>
      <c r="M200" t="str">
        <f>VLOOKUP(patients[[#This Row],[PatientID]],labs[[LabID]:[TestName]],3)</f>
        <v>Creatinine</v>
      </c>
      <c r="N200">
        <f>VLOOKUP(patients[[#This Row],[PatientID]],labs[],4)</f>
        <v>171.7</v>
      </c>
    </row>
    <row r="201" spans="1:14" x14ac:dyDescent="0.3">
      <c r="A201">
        <v>200</v>
      </c>
      <c r="B201" t="s">
        <v>211</v>
      </c>
      <c r="C201">
        <v>61</v>
      </c>
      <c r="D201" t="s">
        <v>15</v>
      </c>
      <c r="E201">
        <v>3</v>
      </c>
      <c r="F201" t="str">
        <f>VLOOKUP(patients[[#This Row],[DiagnosisID]],diagnoses[#All],2)</f>
        <v>Heart Disease</v>
      </c>
      <c r="G201" s="1">
        <v>45668</v>
      </c>
      <c r="H201" s="1">
        <v>45725</v>
      </c>
      <c r="I201" s="2">
        <f>_xlfn.DAYS(patients[[#This Row],[DischargeDate]],patients[[#This Row],[AdmissionDate]])</f>
        <v>57</v>
      </c>
      <c r="J201">
        <v>3</v>
      </c>
      <c r="K201" t="str">
        <f>VLOOKUP(patients[[#This Row],[OutcomeID]],outcomes[],2)</f>
        <v>Deceased</v>
      </c>
      <c r="L201">
        <v>5983</v>
      </c>
      <c r="M201" t="str">
        <f>VLOOKUP(patients[[#This Row],[PatientID]],labs[[LabID]:[TestName]],3)</f>
        <v>Hemoglobin</v>
      </c>
      <c r="N201">
        <f>VLOOKUP(patients[[#This Row],[PatientID]],labs[],4)</f>
        <v>268.39999999999998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E9558-E8E7-4E9B-A795-ED51E9546541}">
  <sheetPr codeName="Sheet5"/>
  <dimension ref="B2:O21"/>
  <sheetViews>
    <sheetView workbookViewId="0">
      <selection activeCell="K17" sqref="K17"/>
    </sheetView>
  </sheetViews>
  <sheetFormatPr defaultRowHeight="14.4" x14ac:dyDescent="0.3"/>
  <cols>
    <col min="1" max="1" width="10.44140625" customWidth="1"/>
    <col min="2" max="3" width="13.88671875" bestFit="1" customWidth="1"/>
    <col min="4" max="4" width="20.109375" bestFit="1" customWidth="1"/>
    <col min="5" max="5" width="9.88671875" bestFit="1" customWidth="1"/>
    <col min="6" max="6" width="10.77734375" bestFit="1" customWidth="1"/>
    <col min="8" max="8" width="12.5546875" bestFit="1" customWidth="1"/>
    <col min="9" max="9" width="13.88671875" bestFit="1" customWidth="1"/>
    <col min="10" max="10" width="20.109375" bestFit="1" customWidth="1"/>
    <col min="11" max="11" width="13.88671875" bestFit="1" customWidth="1"/>
    <col min="12" max="12" width="6.6640625" customWidth="1"/>
    <col min="13" max="13" width="3" bestFit="1" customWidth="1"/>
    <col min="14" max="14" width="13.109375" bestFit="1" customWidth="1"/>
    <col min="15" max="16" width="23.33203125" bestFit="1" customWidth="1"/>
    <col min="17" max="66" width="3" bestFit="1" customWidth="1"/>
    <col min="67" max="67" width="10.77734375" bestFit="1" customWidth="1"/>
    <col min="68" max="68" width="12" bestFit="1" customWidth="1"/>
    <col min="69" max="69" width="14.88671875" bestFit="1" customWidth="1"/>
    <col min="70" max="70" width="10.21875" bestFit="1" customWidth="1"/>
    <col min="71" max="71" width="14.88671875" bestFit="1" customWidth="1"/>
    <col min="72" max="72" width="14.21875" bestFit="1" customWidth="1"/>
    <col min="73" max="73" width="14.109375" bestFit="1" customWidth="1"/>
    <col min="74" max="74" width="14.5546875" bestFit="1" customWidth="1"/>
    <col min="75" max="75" width="17.44140625" bestFit="1" customWidth="1"/>
    <col min="76" max="76" width="11.5546875" bestFit="1" customWidth="1"/>
    <col min="77" max="77" width="16.33203125" bestFit="1" customWidth="1"/>
    <col min="78" max="78" width="13.77734375" bestFit="1" customWidth="1"/>
    <col min="79" max="79" width="18.33203125" bestFit="1" customWidth="1"/>
    <col min="80" max="80" width="16.77734375" bestFit="1" customWidth="1"/>
    <col min="81" max="81" width="16.5546875" bestFit="1" customWidth="1"/>
    <col min="82" max="82" width="15.44140625" bestFit="1" customWidth="1"/>
    <col min="83" max="83" width="14.33203125" bestFit="1" customWidth="1"/>
    <col min="84" max="84" width="14.5546875" bestFit="1" customWidth="1"/>
    <col min="85" max="85" width="14.109375" bestFit="1" customWidth="1"/>
    <col min="86" max="86" width="12" bestFit="1" customWidth="1"/>
    <col min="87" max="87" width="15.77734375" bestFit="1" customWidth="1"/>
    <col min="88" max="88" width="14.33203125" bestFit="1" customWidth="1"/>
    <col min="89" max="89" width="12.6640625" bestFit="1" customWidth="1"/>
    <col min="90" max="90" width="14.77734375" bestFit="1" customWidth="1"/>
    <col min="91" max="91" width="13.6640625" bestFit="1" customWidth="1"/>
    <col min="92" max="92" width="18.88671875" bestFit="1" customWidth="1"/>
    <col min="93" max="93" width="10.5546875" bestFit="1" customWidth="1"/>
    <col min="94" max="94" width="15.33203125" bestFit="1" customWidth="1"/>
    <col min="95" max="95" width="11.88671875" bestFit="1" customWidth="1"/>
    <col min="96" max="96" width="14.77734375" bestFit="1" customWidth="1"/>
    <col min="97" max="97" width="11.33203125" bestFit="1" customWidth="1"/>
    <col min="98" max="98" width="16.44140625" bestFit="1" customWidth="1"/>
    <col min="99" max="99" width="15.77734375" bestFit="1" customWidth="1"/>
    <col min="100" max="100" width="9.6640625" bestFit="1" customWidth="1"/>
    <col min="101" max="101" width="9.33203125" bestFit="1" customWidth="1"/>
    <col min="102" max="102" width="12.6640625" bestFit="1" customWidth="1"/>
    <col min="103" max="103" width="12.21875" bestFit="1" customWidth="1"/>
    <col min="104" max="104" width="12.109375" bestFit="1" customWidth="1"/>
    <col min="105" max="105" width="11.44140625" bestFit="1" customWidth="1"/>
    <col min="106" max="106" width="13.33203125" bestFit="1" customWidth="1"/>
    <col min="107" max="107" width="12.109375" bestFit="1" customWidth="1"/>
    <col min="108" max="108" width="15.21875" bestFit="1" customWidth="1"/>
    <col min="109" max="109" width="13.88671875" bestFit="1" customWidth="1"/>
    <col min="110" max="110" width="11.109375" bestFit="1" customWidth="1"/>
    <col min="111" max="111" width="13.5546875" bestFit="1" customWidth="1"/>
    <col min="112" max="112" width="14" bestFit="1" customWidth="1"/>
    <col min="113" max="113" width="11.88671875" bestFit="1" customWidth="1"/>
    <col min="114" max="114" width="13.77734375" bestFit="1" customWidth="1"/>
    <col min="115" max="115" width="11.21875" bestFit="1" customWidth="1"/>
    <col min="116" max="116" width="11.77734375" bestFit="1" customWidth="1"/>
    <col min="117" max="117" width="11.33203125" bestFit="1" customWidth="1"/>
    <col min="118" max="118" width="17.21875" bestFit="1" customWidth="1"/>
    <col min="119" max="119" width="12.88671875" bestFit="1" customWidth="1"/>
    <col min="120" max="120" width="14" bestFit="1" customWidth="1"/>
    <col min="121" max="121" width="15.6640625" bestFit="1" customWidth="1"/>
    <col min="122" max="122" width="14.88671875" bestFit="1" customWidth="1"/>
    <col min="123" max="123" width="13.5546875" bestFit="1" customWidth="1"/>
    <col min="124" max="124" width="11.44140625" bestFit="1" customWidth="1"/>
    <col min="125" max="125" width="12.88671875" bestFit="1" customWidth="1"/>
    <col min="126" max="126" width="10.5546875" bestFit="1" customWidth="1"/>
    <col min="127" max="127" width="12.5546875" bestFit="1" customWidth="1"/>
    <col min="128" max="128" width="14" bestFit="1" customWidth="1"/>
    <col min="129" max="129" width="12.88671875" bestFit="1" customWidth="1"/>
    <col min="130" max="130" width="13.77734375" bestFit="1" customWidth="1"/>
    <col min="131" max="131" width="14.21875" bestFit="1" customWidth="1"/>
    <col min="132" max="132" width="9.77734375" bestFit="1" customWidth="1"/>
    <col min="133" max="133" width="12.33203125" bestFit="1" customWidth="1"/>
    <col min="134" max="134" width="12.21875" bestFit="1" customWidth="1"/>
    <col min="135" max="136" width="13.33203125" bestFit="1" customWidth="1"/>
    <col min="137" max="137" width="14.33203125" bestFit="1" customWidth="1"/>
    <col min="138" max="138" width="14.109375" bestFit="1" customWidth="1"/>
    <col min="139" max="139" width="13.33203125" bestFit="1" customWidth="1"/>
    <col min="140" max="140" width="14.77734375" bestFit="1" customWidth="1"/>
    <col min="141" max="141" width="16" bestFit="1" customWidth="1"/>
    <col min="142" max="142" width="14.5546875" bestFit="1" customWidth="1"/>
    <col min="143" max="143" width="10.88671875" bestFit="1" customWidth="1"/>
    <col min="144" max="144" width="12" bestFit="1" customWidth="1"/>
    <col min="145" max="145" width="17.21875" bestFit="1" customWidth="1"/>
    <col min="146" max="146" width="12.6640625" bestFit="1" customWidth="1"/>
    <col min="147" max="147" width="13.77734375" bestFit="1" customWidth="1"/>
    <col min="148" max="148" width="14.44140625" bestFit="1" customWidth="1"/>
    <col min="149" max="149" width="15.6640625" bestFit="1" customWidth="1"/>
    <col min="150" max="150" width="10.6640625" bestFit="1" customWidth="1"/>
    <col min="151" max="151" width="13.33203125" bestFit="1" customWidth="1"/>
    <col min="152" max="152" width="13.88671875" bestFit="1" customWidth="1"/>
    <col min="153" max="153" width="11.44140625" bestFit="1" customWidth="1"/>
    <col min="154" max="154" width="10.5546875" bestFit="1" customWidth="1"/>
    <col min="155" max="155" width="12.109375" bestFit="1" customWidth="1"/>
    <col min="156" max="156" width="14.33203125" bestFit="1" customWidth="1"/>
    <col min="157" max="157" width="10.21875" bestFit="1" customWidth="1"/>
    <col min="158" max="158" width="13.77734375" bestFit="1" customWidth="1"/>
    <col min="159" max="159" width="11.77734375" bestFit="1" customWidth="1"/>
    <col min="160" max="160" width="15.6640625" bestFit="1" customWidth="1"/>
    <col min="161" max="161" width="10.109375" bestFit="1" customWidth="1"/>
    <col min="162" max="162" width="10" bestFit="1" customWidth="1"/>
    <col min="163" max="165" width="11.44140625" bestFit="1" customWidth="1"/>
    <col min="166" max="166" width="12.109375" bestFit="1" customWidth="1"/>
    <col min="167" max="167" width="14.77734375" bestFit="1" customWidth="1"/>
    <col min="168" max="168" width="14.88671875" bestFit="1" customWidth="1"/>
    <col min="169" max="169" width="15.109375" bestFit="1" customWidth="1"/>
    <col min="170" max="170" width="12.109375" bestFit="1" customWidth="1"/>
    <col min="171" max="171" width="13.6640625" bestFit="1" customWidth="1"/>
    <col min="172" max="172" width="11.88671875" bestFit="1" customWidth="1"/>
    <col min="173" max="173" width="11.77734375" bestFit="1" customWidth="1"/>
    <col min="174" max="174" width="13.44140625" bestFit="1" customWidth="1"/>
    <col min="175" max="175" width="12" bestFit="1" customWidth="1"/>
    <col min="176" max="176" width="13.77734375" bestFit="1" customWidth="1"/>
    <col min="177" max="177" width="14.6640625" bestFit="1" customWidth="1"/>
    <col min="178" max="178" width="12.77734375" bestFit="1" customWidth="1"/>
    <col min="179" max="179" width="13.88671875" bestFit="1" customWidth="1"/>
    <col min="180" max="180" width="16.77734375" bestFit="1" customWidth="1"/>
    <col min="181" max="181" width="13.5546875" bestFit="1" customWidth="1"/>
    <col min="182" max="182" width="10" bestFit="1" customWidth="1"/>
    <col min="183" max="183" width="9.5546875" bestFit="1" customWidth="1"/>
    <col min="184" max="184" width="10.6640625" bestFit="1" customWidth="1"/>
    <col min="185" max="185" width="16.33203125" bestFit="1" customWidth="1"/>
    <col min="186" max="186" width="14.88671875" bestFit="1" customWidth="1"/>
    <col min="187" max="187" width="15.21875" bestFit="1" customWidth="1"/>
    <col min="188" max="188" width="13.77734375" bestFit="1" customWidth="1"/>
    <col min="189" max="189" width="15.5546875" bestFit="1" customWidth="1"/>
    <col min="190" max="190" width="12.33203125" bestFit="1" customWidth="1"/>
    <col min="191" max="191" width="14.33203125" bestFit="1" customWidth="1"/>
    <col min="192" max="192" width="12.21875" bestFit="1" customWidth="1"/>
    <col min="193" max="193" width="15.6640625" bestFit="1" customWidth="1"/>
    <col min="194" max="194" width="17.44140625" bestFit="1" customWidth="1"/>
    <col min="195" max="195" width="14.6640625" bestFit="1" customWidth="1"/>
    <col min="196" max="196" width="14.21875" bestFit="1" customWidth="1"/>
    <col min="197" max="197" width="16.77734375" bestFit="1" customWidth="1"/>
    <col min="198" max="198" width="15" bestFit="1" customWidth="1"/>
    <col min="199" max="199" width="14.44140625" bestFit="1" customWidth="1"/>
    <col min="200" max="200" width="12" bestFit="1" customWidth="1"/>
    <col min="201" max="201" width="15.5546875" bestFit="1" customWidth="1"/>
    <col min="202" max="202" width="13.21875" bestFit="1" customWidth="1"/>
    <col min="203" max="203" width="14" bestFit="1" customWidth="1"/>
    <col min="204" max="204" width="15" bestFit="1" customWidth="1"/>
    <col min="205" max="205" width="11.77734375" bestFit="1" customWidth="1"/>
    <col min="206" max="206" width="15.44140625" bestFit="1" customWidth="1"/>
    <col min="207" max="207" width="10.33203125" bestFit="1" customWidth="1"/>
    <col min="208" max="208" width="11.109375" bestFit="1" customWidth="1"/>
    <col min="209" max="209" width="13.88671875" bestFit="1" customWidth="1"/>
    <col min="210" max="210" width="14" bestFit="1" customWidth="1"/>
    <col min="211" max="211" width="14.6640625" bestFit="1" customWidth="1"/>
    <col min="212" max="212" width="10.77734375" bestFit="1" customWidth="1"/>
  </cols>
  <sheetData>
    <row r="2" spans="2:15" x14ac:dyDescent="0.3">
      <c r="B2" s="7" t="s">
        <v>258</v>
      </c>
      <c r="C2" s="7"/>
      <c r="D2" s="7"/>
      <c r="E2" s="7"/>
      <c r="H2" s="7" t="s">
        <v>253</v>
      </c>
      <c r="I2" s="7"/>
    </row>
    <row r="3" spans="2:15" x14ac:dyDescent="0.3">
      <c r="B3" t="s">
        <v>254</v>
      </c>
      <c r="C3" s="5" t="s">
        <v>255</v>
      </c>
      <c r="D3" s="5" t="s">
        <v>256</v>
      </c>
      <c r="E3" t="s">
        <v>257</v>
      </c>
      <c r="H3" s="3" t="s">
        <v>248</v>
      </c>
      <c r="I3" t="s">
        <v>259</v>
      </c>
    </row>
    <row r="4" spans="2:15" x14ac:dyDescent="0.3">
      <c r="B4" s="6">
        <v>200</v>
      </c>
      <c r="C4">
        <v>59.325000000000003</v>
      </c>
      <c r="D4">
        <v>1220982</v>
      </c>
      <c r="E4">
        <v>68</v>
      </c>
      <c r="H4" s="4" t="s">
        <v>15</v>
      </c>
      <c r="I4" s="8">
        <v>106</v>
      </c>
    </row>
    <row r="5" spans="2:15" x14ac:dyDescent="0.3">
      <c r="H5" s="4" t="s">
        <v>11</v>
      </c>
      <c r="I5" s="8">
        <v>94</v>
      </c>
    </row>
    <row r="6" spans="2:15" x14ac:dyDescent="0.3">
      <c r="B6" t="s">
        <v>250</v>
      </c>
      <c r="C6" t="s">
        <v>255</v>
      </c>
      <c r="D6" t="s">
        <v>256</v>
      </c>
      <c r="E6" t="s">
        <v>257</v>
      </c>
      <c r="H6" s="4" t="s">
        <v>249</v>
      </c>
      <c r="I6" s="8">
        <v>200</v>
      </c>
    </row>
    <row r="7" spans="2:15" x14ac:dyDescent="0.3">
      <c r="B7" s="8">
        <v>200</v>
      </c>
      <c r="C7" s="8">
        <v>59.325000000000003</v>
      </c>
      <c r="D7" s="8">
        <v>1220982</v>
      </c>
      <c r="E7">
        <v>68</v>
      </c>
    </row>
    <row r="9" spans="2:15" x14ac:dyDescent="0.3">
      <c r="B9" s="7" t="s">
        <v>261</v>
      </c>
      <c r="C9" s="7"/>
      <c r="D9" s="7"/>
      <c r="E9" s="7"/>
      <c r="F9" s="7"/>
      <c r="N9" s="7" t="s">
        <v>260</v>
      </c>
      <c r="O9" s="7"/>
    </row>
    <row r="10" spans="2:15" x14ac:dyDescent="0.3">
      <c r="B10" s="3" t="s">
        <v>250</v>
      </c>
      <c r="C10" s="3" t="s">
        <v>251</v>
      </c>
      <c r="H10" s="3" t="s">
        <v>248</v>
      </c>
      <c r="I10" t="s">
        <v>250</v>
      </c>
      <c r="N10" s="3" t="s">
        <v>248</v>
      </c>
      <c r="O10" t="s">
        <v>252</v>
      </c>
    </row>
    <row r="11" spans="2:15" x14ac:dyDescent="0.3">
      <c r="B11" s="3" t="s">
        <v>248</v>
      </c>
      <c r="C11" t="s">
        <v>214</v>
      </c>
      <c r="D11" t="s">
        <v>215</v>
      </c>
      <c r="E11" t="s">
        <v>213</v>
      </c>
      <c r="F11" t="s">
        <v>249</v>
      </c>
      <c r="H11" s="4" t="s">
        <v>214</v>
      </c>
      <c r="I11" s="8">
        <v>68</v>
      </c>
      <c r="N11" s="4" t="s">
        <v>224</v>
      </c>
      <c r="O11" s="9">
        <v>6678.7647058823532</v>
      </c>
    </row>
    <row r="12" spans="2:15" x14ac:dyDescent="0.3">
      <c r="B12" s="4" t="s">
        <v>15</v>
      </c>
      <c r="C12" s="8">
        <v>36</v>
      </c>
      <c r="D12" s="8">
        <v>32</v>
      </c>
      <c r="E12" s="8">
        <v>38</v>
      </c>
      <c r="F12" s="8">
        <v>106</v>
      </c>
      <c r="H12" s="4" t="s">
        <v>215</v>
      </c>
      <c r="I12" s="8">
        <v>69</v>
      </c>
      <c r="N12" s="4" t="s">
        <v>225</v>
      </c>
      <c r="O12" s="9">
        <v>6329</v>
      </c>
    </row>
    <row r="13" spans="2:15" x14ac:dyDescent="0.3">
      <c r="B13" s="4" t="s">
        <v>11</v>
      </c>
      <c r="C13" s="8">
        <v>32</v>
      </c>
      <c r="D13" s="8">
        <v>37</v>
      </c>
      <c r="E13" s="8">
        <v>25</v>
      </c>
      <c r="F13" s="8">
        <v>94</v>
      </c>
      <c r="H13" s="4" t="s">
        <v>213</v>
      </c>
      <c r="I13" s="8">
        <v>63</v>
      </c>
      <c r="N13" s="4" t="s">
        <v>221</v>
      </c>
      <c r="O13" s="9">
        <v>6267.347826086957</v>
      </c>
    </row>
    <row r="14" spans="2:15" x14ac:dyDescent="0.3">
      <c r="B14" s="4" t="s">
        <v>249</v>
      </c>
      <c r="C14" s="8">
        <v>68</v>
      </c>
      <c r="D14" s="8">
        <v>69</v>
      </c>
      <c r="E14" s="8">
        <v>63</v>
      </c>
      <c r="F14" s="8">
        <v>200</v>
      </c>
      <c r="H14" s="4" t="s">
        <v>249</v>
      </c>
      <c r="I14" s="8">
        <v>200</v>
      </c>
      <c r="N14" s="4" t="s">
        <v>219</v>
      </c>
      <c r="O14" s="9">
        <v>6236.708333333333</v>
      </c>
    </row>
    <row r="15" spans="2:15" x14ac:dyDescent="0.3">
      <c r="N15" s="4" t="s">
        <v>223</v>
      </c>
      <c r="O15" s="9">
        <v>6234.3888888888887</v>
      </c>
    </row>
    <row r="16" spans="2:15" x14ac:dyDescent="0.3">
      <c r="N16" s="4" t="s">
        <v>218</v>
      </c>
      <c r="O16" s="9">
        <v>6153.1764705882351</v>
      </c>
    </row>
    <row r="17" spans="14:15" x14ac:dyDescent="0.3">
      <c r="N17" s="4" t="s">
        <v>220</v>
      </c>
      <c r="O17" s="9">
        <v>6090.8235294117649</v>
      </c>
    </row>
    <row r="18" spans="14:15" x14ac:dyDescent="0.3">
      <c r="N18" s="4" t="s">
        <v>226</v>
      </c>
      <c r="O18" s="9">
        <v>5976</v>
      </c>
    </row>
    <row r="19" spans="14:15" x14ac:dyDescent="0.3">
      <c r="N19" s="4" t="s">
        <v>217</v>
      </c>
      <c r="O19" s="9">
        <v>5854.5</v>
      </c>
    </row>
    <row r="20" spans="14:15" x14ac:dyDescent="0.3">
      <c r="N20" s="4" t="s">
        <v>222</v>
      </c>
      <c r="O20" s="9">
        <v>5532.7</v>
      </c>
    </row>
    <row r="21" spans="14:15" x14ac:dyDescent="0.3">
      <c r="N21" s="4" t="s">
        <v>249</v>
      </c>
      <c r="O21" s="8">
        <v>6104.91</v>
      </c>
    </row>
  </sheetData>
  <mergeCells count="4">
    <mergeCell ref="B9:F9"/>
    <mergeCell ref="B2:E2"/>
    <mergeCell ref="H2:I2"/>
    <mergeCell ref="N9:O9"/>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99E73-8E36-41D7-B07B-21D96D6F9349}">
  <sheetPr codeName="Sheet6"/>
  <dimension ref="A1"/>
  <sheetViews>
    <sheetView topLeftCell="C1" workbookViewId="0">
      <selection activeCell="W26" sqref="W2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90294C7-93B5-479E-B5D7-68028F543D3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labs</vt:lpstr>
      <vt:lpstr>diagnoses</vt:lpstr>
      <vt:lpstr>outcomes</vt:lpstr>
      <vt:lpstr>patients</vt:lpstr>
      <vt:lpstr>analysyis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aarti chandurkar</dc:creator>
  <cp:lastModifiedBy>aarti chandurkar</cp:lastModifiedBy>
  <dcterms:created xsi:type="dcterms:W3CDTF">2026-05-22T12:06:06Z</dcterms:created>
  <dcterms:modified xsi:type="dcterms:W3CDTF">2026-05-23T11:15:55Z</dcterms:modified>
</cp:coreProperties>
</file>